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lbpval001_myuct_ac_za/Documents/Documents/PHY3004W/Cosmic on Air Project/Data/"/>
    </mc:Choice>
  </mc:AlternateContent>
  <xr:revisionPtr revIDLastSave="38" documentId="8_{B5A2D843-744D-914C-A4FD-368232A54CA1}" xr6:coauthVersionLast="47" xr6:coauthVersionMax="47" xr10:uidLastSave="{53AAD30C-16DA-46E6-B1A2-AAF2F9FB0246}"/>
  <bookViews>
    <workbookView xWindow="12675" yWindow="0" windowWidth="7920" windowHeight="10905" firstSheet="2" activeTab="2" xr2:uid="{91C712AA-43F4-4DDC-AEE7-E66BA833C427}"/>
  </bookViews>
  <sheets>
    <sheet name="full measured data" sheetId="1" r:id="rId1"/>
    <sheet name="lead measurement" sheetId="2" r:id="rId2"/>
    <sheet name="background measurement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2" i="2"/>
  <c r="I3" i="2"/>
</calcChain>
</file>

<file path=xl/sharedStrings.xml><?xml version="1.0" encoding="utf-8"?>
<sst xmlns="http://schemas.openxmlformats.org/spreadsheetml/2006/main" count="204" uniqueCount="102">
  <si>
    <t>Time</t>
  </si>
  <si>
    <t>Timestamp</t>
  </si>
  <si>
    <t>Event</t>
  </si>
  <si>
    <t>Count Rate, cps</t>
  </si>
  <si>
    <t>Dose rate, R/h</t>
  </si>
  <si>
    <t>Dose Rate Error, %</t>
  </si>
  <si>
    <t>Dose Rate Alarm</t>
  </si>
  <si>
    <t>Dose Alarm</t>
  </si>
  <si>
    <t>Duration of dose accumulation, sec.</t>
  </si>
  <si>
    <t>2025-08-18 13:00:44.599</t>
  </si>
  <si>
    <t>2025-08-18 13:01:51.601</t>
  </si>
  <si>
    <t>2025-08-18 13:02:02.851</t>
  </si>
  <si>
    <t>2025-08-18 13:02:03.351</t>
  </si>
  <si>
    <t>2025-08-18 13:02:03.601</t>
  </si>
  <si>
    <t>2025-08-18 13:02:04.351</t>
  </si>
  <si>
    <t>2025-08-18 13:02:24.481</t>
  </si>
  <si>
    <t>2025-08-18 13:02:24.706</t>
  </si>
  <si>
    <t>2025-08-18 13:03:24.086</t>
  </si>
  <si>
    <t>2025-08-18 13:05:11.557</t>
  </si>
  <si>
    <t>2025-08-18 13:06:47.562</t>
  </si>
  <si>
    <t>2025-08-18 13:08:23.544</t>
  </si>
  <si>
    <t>2025-08-18 13:09:59.547</t>
  </si>
  <si>
    <t>2025-08-18 13:11:35.525</t>
  </si>
  <si>
    <t>2025-08-18 13:13:11.509</t>
  </si>
  <si>
    <t>2025-08-18 13:14:47.515</t>
  </si>
  <si>
    <t>2025-08-18 13:16:23.490</t>
  </si>
  <si>
    <t>2025-08-18 13:17:59.498</t>
  </si>
  <si>
    <t>2025-08-18 13:19:35.490</t>
  </si>
  <si>
    <t>2025-08-18 13:21:11.478</t>
  </si>
  <si>
    <t>2025-08-18 13:22:47.463</t>
  </si>
  <si>
    <t>2025-08-18 13:24:23.461</t>
  </si>
  <si>
    <t>2025-08-18 13:25:59.453</t>
  </si>
  <si>
    <t>2025-08-18 13:27:35.436</t>
  </si>
  <si>
    <t>2025-08-18 13:29:11.417</t>
  </si>
  <si>
    <t>2025-08-18 13:30:47.421</t>
  </si>
  <si>
    <t>2025-08-18 13:32:23.409</t>
  </si>
  <si>
    <t>2025-08-18 13:33:59.407</t>
  </si>
  <si>
    <t>2025-08-18 13:35:35.402</t>
  </si>
  <si>
    <t>2025-08-18 13:37:11.400</t>
  </si>
  <si>
    <t>2025-08-18 13:38:47.382</t>
  </si>
  <si>
    <t>2025-08-18 13:40:23.343</t>
  </si>
  <si>
    <t>2025-08-18 13:41:59.343</t>
  </si>
  <si>
    <t>2025-08-18 13:43:35.352</t>
  </si>
  <si>
    <t>2025-08-18 13:45:11.276</t>
  </si>
  <si>
    <t>2025-08-18 13:46:47.332</t>
  </si>
  <si>
    <t>2025-08-18 13:48:23.326</t>
  </si>
  <si>
    <t>2025-08-18 13:49:59.311</t>
  </si>
  <si>
    <t>2025-08-18 13:51:35.295</t>
  </si>
  <si>
    <t>2025-08-18 13:53:11.301</t>
  </si>
  <si>
    <t>2025-08-18 13:54:47.272</t>
  </si>
  <si>
    <t>2025-08-18 13:56:23.269</t>
  </si>
  <si>
    <t>2025-08-18 13:57:59.266</t>
  </si>
  <si>
    <t>2025-08-18 13:59:35.256</t>
  </si>
  <si>
    <t>2025-08-18 14:01:11.247</t>
  </si>
  <si>
    <t>2025-08-18 14:02:47.238</t>
  </si>
  <si>
    <t>2025-08-18 14:04:23.226</t>
  </si>
  <si>
    <t>2025-08-18 14:05:59.228</t>
  </si>
  <si>
    <t>2025-08-18 14:07:35.208</t>
  </si>
  <si>
    <t>2025-08-18 14:08:29.208</t>
  </si>
  <si>
    <t>2025-08-18 14:08:33.193</t>
  </si>
  <si>
    <t>2025-08-18 14:09:27.193</t>
  </si>
  <si>
    <t>2025-08-18 14:11:11.192</t>
  </si>
  <si>
    <t>2025-08-18 14:12:47.179</t>
  </si>
  <si>
    <t>2025-08-18 14:14:23.175</t>
  </si>
  <si>
    <t>2025-08-18 14:15:59.166</t>
  </si>
  <si>
    <t>2025-08-18 14:17:35.150</t>
  </si>
  <si>
    <t>2025-08-18 14:19:11.154</t>
  </si>
  <si>
    <t>2025-08-18 14:20:47.130</t>
  </si>
  <si>
    <t>2025-08-18 14:22:23.121</t>
  </si>
  <si>
    <t>2025-08-18 14:23:59.123</t>
  </si>
  <si>
    <t>2025-08-18 14:25:35.105</t>
  </si>
  <si>
    <t>2025-08-18 14:27:11.100</t>
  </si>
  <si>
    <t>2025-08-18 14:28:47.094</t>
  </si>
  <si>
    <t>2025-08-18 14:30:23.080</t>
  </si>
  <si>
    <t>2025-08-18 14:31:59.072</t>
  </si>
  <si>
    <t>2025-08-18 14:33:35.066</t>
  </si>
  <si>
    <t>2025-08-18 14:35:11.053</t>
  </si>
  <si>
    <t>2025-08-18 14:36:47.041</t>
  </si>
  <si>
    <t>2025-08-18 14:38:23.038</t>
  </si>
  <si>
    <t>2025-08-18 14:39:59.025</t>
  </si>
  <si>
    <t>2025-08-18 14:41:35.020</t>
  </si>
  <si>
    <t>2025-08-18 14:43:10.999</t>
  </si>
  <si>
    <t>2025-08-18 14:44:46.994</t>
  </si>
  <si>
    <t>2025-08-18 14:46:22.986</t>
  </si>
  <si>
    <t>2025-08-18 14:47:58.977</t>
  </si>
  <si>
    <t>2025-08-18 14:49:34.968</t>
  </si>
  <si>
    <t>2025-08-18 14:51:10.954</t>
  </si>
  <si>
    <t>2025-08-18 14:52:46.957</t>
  </si>
  <si>
    <t>2025-08-18 14:54:22.938</t>
  </si>
  <si>
    <t>2025-08-18 14:55:58.934</t>
  </si>
  <si>
    <t>2025-08-18 14:57:34.924</t>
  </si>
  <si>
    <t>2025-08-18 14:59:10.917</t>
  </si>
  <si>
    <t>2025-08-18 15:00:46.901</t>
  </si>
  <si>
    <t>2025-08-18 15:02:22.900</t>
  </si>
  <si>
    <t>2025-08-18 15:03:58.881</t>
  </si>
  <si>
    <t>2025-08-18 15:05:34.880</t>
  </si>
  <si>
    <t>2025-08-18 15:07:10.865</t>
  </si>
  <si>
    <t>2025-08-18 15:08:46.856</t>
  </si>
  <si>
    <t>2025-08-18 15:10:22.849</t>
  </si>
  <si>
    <t>2025-08-18 15:11:58.838</t>
  </si>
  <si>
    <t>2025-08-18 15:13:34.835</t>
  </si>
  <si>
    <t>2025-08-18 15:15:10.818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</si>
</sst>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F1B-979F-4937-B751-AC07E3B303C7}">
  <dimension ref="A1:I94"/>
  <sheetViews>
    <sheetView workbookViewId="0">
      <selection activeCell="K1" sqref="K1"/>
    </sheetView>
  </sheetViews>
  <sheetFormatPr defaultRowHeight="15" x14ac:dyDescent="0.25"/>
  <cols>
    <col min="11" max="11" width="9.42578125" customWidth="1"/>
  </cols>
  <sheetData>
    <row r="1" spans="1:9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1.3399995644599E+17</v>
      </c>
      <c r="D2">
        <v>9.1891890000000007</v>
      </c>
      <c r="E2" s="1">
        <v>3.9808558000000002E-5</v>
      </c>
      <c r="F2">
        <v>12.1</v>
      </c>
      <c r="G2">
        <v>0</v>
      </c>
      <c r="H2">
        <v>0</v>
      </c>
    </row>
    <row r="3" spans="1:9" x14ac:dyDescent="0.25">
      <c r="A3" t="s">
        <v>10</v>
      </c>
      <c r="B3">
        <v>1.3399995711601E+17</v>
      </c>
      <c r="D3">
        <v>9.6521740000000005</v>
      </c>
      <c r="E3" s="1">
        <v>4.7601054000000002E-5</v>
      </c>
      <c r="F3">
        <v>24.1</v>
      </c>
      <c r="G3">
        <v>1</v>
      </c>
      <c r="H3">
        <v>0</v>
      </c>
    </row>
    <row r="4" spans="1:9" x14ac:dyDescent="0.25">
      <c r="A4" t="s">
        <v>11</v>
      </c>
      <c r="B4">
        <v>1.3399995722851E+17</v>
      </c>
      <c r="D4">
        <v>13.652174</v>
      </c>
      <c r="E4" s="1">
        <v>7.1930199999999998E-5</v>
      </c>
      <c r="F4">
        <v>24.1</v>
      </c>
      <c r="G4">
        <v>1</v>
      </c>
      <c r="H4">
        <v>0</v>
      </c>
    </row>
    <row r="5" spans="1:9" x14ac:dyDescent="0.25">
      <c r="A5" t="s">
        <v>12</v>
      </c>
      <c r="B5">
        <v>1.3399995723351E+17</v>
      </c>
      <c r="D5">
        <v>42</v>
      </c>
      <c r="E5" s="1">
        <v>2.7080078E-4</v>
      </c>
      <c r="F5">
        <v>56.7</v>
      </c>
      <c r="G5">
        <v>2</v>
      </c>
      <c r="H5">
        <v>0</v>
      </c>
    </row>
    <row r="6" spans="1:9" x14ac:dyDescent="0.25">
      <c r="A6" t="s">
        <v>13</v>
      </c>
      <c r="B6">
        <v>1.3399995723601E+17</v>
      </c>
      <c r="D6">
        <v>30</v>
      </c>
      <c r="E6" s="1">
        <v>1.6689453E-4</v>
      </c>
      <c r="F6">
        <v>56.7</v>
      </c>
      <c r="G6">
        <v>1</v>
      </c>
      <c r="H6">
        <v>0</v>
      </c>
    </row>
    <row r="7" spans="1:9" x14ac:dyDescent="0.25">
      <c r="A7" t="s">
        <v>14</v>
      </c>
      <c r="B7">
        <v>1.3399995724351E+17</v>
      </c>
      <c r="D7">
        <v>75.414635000000004</v>
      </c>
      <c r="E7" s="1">
        <v>3.7404487000000002E-4</v>
      </c>
      <c r="F7">
        <v>8.8000000000000007</v>
      </c>
      <c r="G7">
        <v>2</v>
      </c>
      <c r="H7">
        <v>0</v>
      </c>
    </row>
    <row r="8" spans="1:9" x14ac:dyDescent="0.25">
      <c r="A8" t="s">
        <v>15</v>
      </c>
      <c r="B8">
        <v>1.3399995744481E+17</v>
      </c>
      <c r="D8">
        <v>67.024389999999997</v>
      </c>
      <c r="E8" s="1">
        <v>4.5049780000000001E-4</v>
      </c>
      <c r="F8">
        <v>8.8000000000000007</v>
      </c>
      <c r="G8">
        <v>2</v>
      </c>
      <c r="H8">
        <v>0</v>
      </c>
    </row>
    <row r="9" spans="1:9" x14ac:dyDescent="0.25">
      <c r="A9" t="s">
        <v>16</v>
      </c>
      <c r="B9">
        <v>1.3399995744706E+17</v>
      </c>
      <c r="D9">
        <v>9.1764709999999994</v>
      </c>
      <c r="E9" s="1">
        <v>3.7325615000000002E-5</v>
      </c>
      <c r="F9">
        <v>12</v>
      </c>
      <c r="G9">
        <v>0</v>
      </c>
      <c r="H9">
        <v>0</v>
      </c>
    </row>
    <row r="10" spans="1:9" x14ac:dyDescent="0.25">
      <c r="A10" t="s">
        <v>17</v>
      </c>
      <c r="B10">
        <v>1.3399995804086E+17</v>
      </c>
      <c r="D10">
        <v>8.8571419999999996</v>
      </c>
      <c r="E10" s="1">
        <v>3.8901245999999999E-5</v>
      </c>
      <c r="F10">
        <v>12</v>
      </c>
      <c r="G10">
        <v>0</v>
      </c>
      <c r="H10">
        <v>0</v>
      </c>
    </row>
    <row r="11" spans="1:9" x14ac:dyDescent="0.25">
      <c r="A11" t="s">
        <v>18</v>
      </c>
      <c r="B11">
        <v>1.3399995911557E+17</v>
      </c>
      <c r="D11">
        <v>9.3854170000000003</v>
      </c>
      <c r="E11" s="1">
        <v>4.7031655000000003E-5</v>
      </c>
      <c r="F11">
        <v>12.3</v>
      </c>
      <c r="G11">
        <v>1</v>
      </c>
      <c r="H11">
        <v>0</v>
      </c>
    </row>
    <row r="12" spans="1:9" x14ac:dyDescent="0.25">
      <c r="A12" t="s">
        <v>19</v>
      </c>
      <c r="B12">
        <v>1.3399996007562E+17</v>
      </c>
      <c r="D12">
        <v>8.3958329999999997</v>
      </c>
      <c r="E12" s="1">
        <v>3.6727906000000001E-5</v>
      </c>
      <c r="F12">
        <v>14</v>
      </c>
      <c r="G12">
        <v>0</v>
      </c>
      <c r="H12">
        <v>0</v>
      </c>
    </row>
    <row r="13" spans="1:9" x14ac:dyDescent="0.25">
      <c r="A13" t="s">
        <v>20</v>
      </c>
      <c r="B13">
        <v>1.3399996103544E+17</v>
      </c>
      <c r="D13">
        <v>8.8854170000000003</v>
      </c>
      <c r="E13" s="1">
        <v>4.5386251999999998E-5</v>
      </c>
      <c r="F13">
        <v>12.7</v>
      </c>
      <c r="G13">
        <v>1</v>
      </c>
      <c r="H13">
        <v>0</v>
      </c>
    </row>
    <row r="14" spans="1:9" x14ac:dyDescent="0.25">
      <c r="A14" t="s">
        <v>21</v>
      </c>
      <c r="B14">
        <v>1.3399996199547E+17</v>
      </c>
      <c r="D14">
        <v>8.8541670000000003</v>
      </c>
      <c r="E14" s="1">
        <v>3.6778769999999999E-5</v>
      </c>
      <c r="F14">
        <v>14</v>
      </c>
      <c r="G14">
        <v>0</v>
      </c>
      <c r="H14">
        <v>0</v>
      </c>
    </row>
    <row r="15" spans="1:9" x14ac:dyDescent="0.25">
      <c r="A15" t="s">
        <v>22</v>
      </c>
      <c r="B15">
        <v>1.3399996295525E+17</v>
      </c>
      <c r="D15">
        <v>9.3854170000000003</v>
      </c>
      <c r="E15" s="1">
        <v>4.2573040000000003E-5</v>
      </c>
      <c r="F15">
        <v>13</v>
      </c>
      <c r="G15">
        <v>0</v>
      </c>
      <c r="H15">
        <v>0</v>
      </c>
    </row>
    <row r="16" spans="1:9" x14ac:dyDescent="0.25">
      <c r="A16" t="s">
        <v>23</v>
      </c>
      <c r="B16">
        <v>1.3399996391509E+17</v>
      </c>
      <c r="D16">
        <v>9.1145829999999997</v>
      </c>
      <c r="E16" s="1">
        <v>4.2808024E-5</v>
      </c>
      <c r="F16">
        <v>12.7</v>
      </c>
      <c r="G16">
        <v>1</v>
      </c>
      <c r="H16">
        <v>0</v>
      </c>
    </row>
    <row r="17" spans="1:8" x14ac:dyDescent="0.25">
      <c r="A17" t="s">
        <v>24</v>
      </c>
      <c r="B17">
        <v>1.3399996487515E+17</v>
      </c>
      <c r="D17">
        <v>9.46875</v>
      </c>
      <c r="E17" s="1">
        <v>4.2783610000000002E-5</v>
      </c>
      <c r="F17">
        <v>12.9</v>
      </c>
      <c r="G17">
        <v>1</v>
      </c>
      <c r="H17">
        <v>0</v>
      </c>
    </row>
    <row r="18" spans="1:8" x14ac:dyDescent="0.25">
      <c r="A18" t="s">
        <v>25</v>
      </c>
      <c r="B18">
        <v>1.339999658349E+17</v>
      </c>
      <c r="D18">
        <v>9.28125</v>
      </c>
      <c r="E18" s="1">
        <v>4.6260069999999999E-5</v>
      </c>
      <c r="F18">
        <v>12.6</v>
      </c>
      <c r="G18">
        <v>1</v>
      </c>
      <c r="H18">
        <v>0</v>
      </c>
    </row>
    <row r="19" spans="1:8" x14ac:dyDescent="0.25">
      <c r="A19" t="s">
        <v>26</v>
      </c>
      <c r="B19">
        <v>1.3399996679498E+17</v>
      </c>
      <c r="D19">
        <v>9.4479170000000003</v>
      </c>
      <c r="E19" s="1">
        <v>4.2405189999999998E-5</v>
      </c>
      <c r="F19">
        <v>12.7</v>
      </c>
      <c r="G19">
        <v>0</v>
      </c>
      <c r="H19">
        <v>0</v>
      </c>
    </row>
    <row r="20" spans="1:8" x14ac:dyDescent="0.25">
      <c r="A20" t="s">
        <v>27</v>
      </c>
      <c r="B20">
        <v>1.339999677549E+17</v>
      </c>
      <c r="D20">
        <v>8.9583329999999997</v>
      </c>
      <c r="E20" s="1">
        <v>4.7515870000000001E-5</v>
      </c>
      <c r="F20">
        <v>12.7</v>
      </c>
      <c r="G20">
        <v>1</v>
      </c>
      <c r="H20">
        <v>0</v>
      </c>
    </row>
    <row r="21" spans="1:8" x14ac:dyDescent="0.25">
      <c r="A21" t="s">
        <v>28</v>
      </c>
      <c r="B21">
        <v>1.3399996871478E+17</v>
      </c>
      <c r="D21">
        <v>8.7395829999999997</v>
      </c>
      <c r="E21" s="1">
        <v>4.2996217E-5</v>
      </c>
      <c r="F21">
        <v>12.9</v>
      </c>
      <c r="G21">
        <v>1</v>
      </c>
      <c r="H21">
        <v>0</v>
      </c>
    </row>
    <row r="22" spans="1:8" x14ac:dyDescent="0.25">
      <c r="A22" t="s">
        <v>29</v>
      </c>
      <c r="B22">
        <v>1.3399996967463E+17</v>
      </c>
      <c r="D22">
        <v>9.2395829999999997</v>
      </c>
      <c r="E22" s="1">
        <v>3.9793394999999997E-5</v>
      </c>
      <c r="F22">
        <v>12.9</v>
      </c>
      <c r="G22">
        <v>0</v>
      </c>
      <c r="H22">
        <v>0</v>
      </c>
    </row>
    <row r="23" spans="1:8" x14ac:dyDescent="0.25">
      <c r="A23" t="s">
        <v>30</v>
      </c>
      <c r="B23">
        <v>1.3399997063461E+17</v>
      </c>
      <c r="D23">
        <v>8.4791670000000003</v>
      </c>
      <c r="E23" s="1">
        <v>4.0062460000000002E-5</v>
      </c>
      <c r="F23">
        <v>13.2</v>
      </c>
      <c r="G23">
        <v>0</v>
      </c>
      <c r="H23">
        <v>0</v>
      </c>
    </row>
    <row r="24" spans="1:8" x14ac:dyDescent="0.25">
      <c r="A24" t="s">
        <v>31</v>
      </c>
      <c r="B24">
        <v>1.3399997159453E+17</v>
      </c>
      <c r="D24">
        <v>9.5</v>
      </c>
      <c r="E24" s="1">
        <v>4.2695618000000001E-5</v>
      </c>
      <c r="F24">
        <v>12.5</v>
      </c>
      <c r="G24">
        <v>1</v>
      </c>
      <c r="H24">
        <v>0</v>
      </c>
    </row>
    <row r="25" spans="1:8" x14ac:dyDescent="0.25">
      <c r="A25" t="s">
        <v>32</v>
      </c>
      <c r="B25">
        <v>1.3399997255436E+17</v>
      </c>
      <c r="D25">
        <v>8.9583329999999997</v>
      </c>
      <c r="E25" s="1">
        <v>3.8682556000000001E-5</v>
      </c>
      <c r="F25">
        <v>13.3</v>
      </c>
      <c r="G25">
        <v>0</v>
      </c>
      <c r="H25">
        <v>0</v>
      </c>
    </row>
    <row r="26" spans="1:8" x14ac:dyDescent="0.25">
      <c r="A26" t="s">
        <v>33</v>
      </c>
      <c r="B26">
        <v>1.3399997351417E+17</v>
      </c>
      <c r="D26">
        <v>9.1354170000000003</v>
      </c>
      <c r="E26" s="1">
        <v>3.8575236000000001E-5</v>
      </c>
      <c r="F26">
        <v>13.3</v>
      </c>
      <c r="G26">
        <v>0</v>
      </c>
      <c r="H26">
        <v>0</v>
      </c>
    </row>
    <row r="27" spans="1:8" x14ac:dyDescent="0.25">
      <c r="A27" t="s">
        <v>34</v>
      </c>
      <c r="B27">
        <v>1.3399997447421E+17</v>
      </c>
      <c r="D27">
        <v>8.9479170000000003</v>
      </c>
      <c r="E27" s="1">
        <v>4.1412353000000002E-5</v>
      </c>
      <c r="F27">
        <v>13.2</v>
      </c>
      <c r="G27">
        <v>0</v>
      </c>
      <c r="H27">
        <v>0</v>
      </c>
    </row>
    <row r="28" spans="1:8" x14ac:dyDescent="0.25">
      <c r="A28" t="s">
        <v>35</v>
      </c>
      <c r="B28">
        <v>1.3399997543409E+17</v>
      </c>
      <c r="D28">
        <v>9.15625</v>
      </c>
      <c r="E28" s="1">
        <v>4.199219E-5</v>
      </c>
      <c r="F28">
        <v>13</v>
      </c>
      <c r="G28">
        <v>0</v>
      </c>
      <c r="H28">
        <v>0</v>
      </c>
    </row>
    <row r="29" spans="1:8" x14ac:dyDescent="0.25">
      <c r="A29" t="s">
        <v>36</v>
      </c>
      <c r="B29">
        <v>1.3399997639407E+17</v>
      </c>
      <c r="D29">
        <v>9.3125</v>
      </c>
      <c r="E29" s="1">
        <v>4.2536415999999999E-5</v>
      </c>
      <c r="F29">
        <v>12.7</v>
      </c>
      <c r="G29">
        <v>0</v>
      </c>
      <c r="H29">
        <v>0</v>
      </c>
    </row>
    <row r="30" spans="1:8" x14ac:dyDescent="0.25">
      <c r="A30" t="s">
        <v>37</v>
      </c>
      <c r="B30">
        <v>1.3399997735402E+17</v>
      </c>
      <c r="D30">
        <v>9.03125</v>
      </c>
      <c r="E30" s="1">
        <v>4.3507385000000002E-5</v>
      </c>
      <c r="F30">
        <v>12.7</v>
      </c>
      <c r="G30">
        <v>1</v>
      </c>
      <c r="H30">
        <v>0</v>
      </c>
    </row>
    <row r="31" spans="1:8" x14ac:dyDescent="0.25">
      <c r="A31" t="s">
        <v>38</v>
      </c>
      <c r="B31">
        <v>1.33999978314E+17</v>
      </c>
      <c r="D31">
        <v>9.1145829999999997</v>
      </c>
      <c r="E31" s="1">
        <v>4.1018676999999998E-5</v>
      </c>
      <c r="F31">
        <v>12.5</v>
      </c>
      <c r="G31">
        <v>0</v>
      </c>
      <c r="H31">
        <v>0</v>
      </c>
    </row>
    <row r="32" spans="1:8" x14ac:dyDescent="0.25">
      <c r="A32" t="s">
        <v>39</v>
      </c>
      <c r="B32">
        <v>1.3399997927382E+17</v>
      </c>
      <c r="D32">
        <v>9.0520829999999997</v>
      </c>
      <c r="E32" s="1">
        <v>4.4573975000000002E-5</v>
      </c>
      <c r="F32">
        <v>12.9</v>
      </c>
      <c r="G32">
        <v>1</v>
      </c>
      <c r="H32">
        <v>0</v>
      </c>
    </row>
    <row r="33" spans="1:8" x14ac:dyDescent="0.25">
      <c r="A33" t="s">
        <v>40</v>
      </c>
      <c r="B33">
        <v>1.3399998023343E+17</v>
      </c>
      <c r="D33">
        <v>8.8333329999999997</v>
      </c>
      <c r="E33" s="1">
        <v>4.2640179999999997E-5</v>
      </c>
      <c r="F33">
        <v>12.9</v>
      </c>
      <c r="G33">
        <v>0</v>
      </c>
      <c r="H33">
        <v>0</v>
      </c>
    </row>
    <row r="34" spans="1:8" x14ac:dyDescent="0.25">
      <c r="A34" t="s">
        <v>41</v>
      </c>
      <c r="B34">
        <v>1.3399998119343E+17</v>
      </c>
      <c r="D34">
        <v>9.1875</v>
      </c>
      <c r="E34" s="1">
        <v>4.231059E-5</v>
      </c>
      <c r="F34">
        <v>12.7</v>
      </c>
      <c r="G34">
        <v>0</v>
      </c>
      <c r="H34">
        <v>0</v>
      </c>
    </row>
    <row r="35" spans="1:8" x14ac:dyDescent="0.25">
      <c r="A35" t="s">
        <v>42</v>
      </c>
      <c r="B35">
        <v>1.3399998215352E+17</v>
      </c>
      <c r="D35">
        <v>9.1770829999999997</v>
      </c>
      <c r="E35" s="1">
        <v>3.9752707000000002E-5</v>
      </c>
      <c r="F35">
        <v>13.2</v>
      </c>
      <c r="G35">
        <v>0</v>
      </c>
      <c r="H35">
        <v>0</v>
      </c>
    </row>
    <row r="36" spans="1:8" x14ac:dyDescent="0.25">
      <c r="A36" t="s">
        <v>43</v>
      </c>
      <c r="B36">
        <v>1.3399998311276E+17</v>
      </c>
      <c r="D36">
        <v>8.4791670000000003</v>
      </c>
      <c r="E36" s="1">
        <v>3.9691163999999999E-5</v>
      </c>
      <c r="F36">
        <v>13.5</v>
      </c>
      <c r="G36">
        <v>0</v>
      </c>
      <c r="H36">
        <v>0</v>
      </c>
    </row>
    <row r="37" spans="1:8" x14ac:dyDescent="0.25">
      <c r="A37" t="s">
        <v>44</v>
      </c>
      <c r="B37">
        <v>1.3399998407332E+17</v>
      </c>
      <c r="D37">
        <v>8.7604170000000003</v>
      </c>
      <c r="E37" s="1">
        <v>3.3765666999999997E-5</v>
      </c>
      <c r="F37">
        <v>13.8</v>
      </c>
      <c r="G37">
        <v>0</v>
      </c>
      <c r="H37">
        <v>0</v>
      </c>
    </row>
    <row r="38" spans="1:8" x14ac:dyDescent="0.25">
      <c r="A38" t="s">
        <v>45</v>
      </c>
      <c r="B38">
        <v>1.3399998503326E+17</v>
      </c>
      <c r="D38">
        <v>9.2395829999999997</v>
      </c>
      <c r="E38" s="1">
        <v>3.9782712999999997E-5</v>
      </c>
      <c r="F38">
        <v>13.2</v>
      </c>
      <c r="G38">
        <v>0</v>
      </c>
      <c r="H38">
        <v>0</v>
      </c>
    </row>
    <row r="39" spans="1:8" x14ac:dyDescent="0.25">
      <c r="A39" t="s">
        <v>46</v>
      </c>
      <c r="B39">
        <v>1.3399998599311E+17</v>
      </c>
      <c r="D39">
        <v>9.59375</v>
      </c>
      <c r="E39" s="1">
        <v>3.9944967000000001E-5</v>
      </c>
      <c r="F39">
        <v>13.2</v>
      </c>
      <c r="G39">
        <v>0</v>
      </c>
      <c r="H39">
        <v>0</v>
      </c>
    </row>
    <row r="40" spans="1:8" x14ac:dyDescent="0.25">
      <c r="A40" t="s">
        <v>47</v>
      </c>
      <c r="B40">
        <v>1.3399998695295E+17</v>
      </c>
      <c r="D40">
        <v>8.84375</v>
      </c>
      <c r="E40" s="1">
        <v>4.3174743000000003E-5</v>
      </c>
      <c r="F40">
        <v>13</v>
      </c>
      <c r="G40">
        <v>1</v>
      </c>
      <c r="H40">
        <v>0</v>
      </c>
    </row>
    <row r="41" spans="1:8" x14ac:dyDescent="0.25">
      <c r="A41" t="s">
        <v>48</v>
      </c>
      <c r="B41">
        <v>1.3399998791301E+17</v>
      </c>
      <c r="D41">
        <v>9.5416670000000003</v>
      </c>
      <c r="E41" s="1">
        <v>4.1913860000000003E-5</v>
      </c>
      <c r="F41">
        <v>13</v>
      </c>
      <c r="G41">
        <v>0</v>
      </c>
      <c r="H41">
        <v>0</v>
      </c>
    </row>
    <row r="42" spans="1:8" x14ac:dyDescent="0.25">
      <c r="A42" t="s">
        <v>49</v>
      </c>
      <c r="B42">
        <v>1.3399998887272E+17</v>
      </c>
      <c r="D42">
        <v>8.5104170000000003</v>
      </c>
      <c r="E42" s="1">
        <v>3.9549762999999997E-5</v>
      </c>
      <c r="F42">
        <v>13.1</v>
      </c>
      <c r="G42">
        <v>0</v>
      </c>
      <c r="H42">
        <v>0</v>
      </c>
    </row>
    <row r="43" spans="1:8" x14ac:dyDescent="0.25">
      <c r="A43" t="s">
        <v>50</v>
      </c>
      <c r="B43">
        <v>1.3399998983269E+17</v>
      </c>
      <c r="D43">
        <v>8.75</v>
      </c>
      <c r="E43" s="1">
        <v>4.1727699999999997E-5</v>
      </c>
      <c r="F43">
        <v>13.1</v>
      </c>
      <c r="G43">
        <v>0</v>
      </c>
      <c r="H43">
        <v>0</v>
      </c>
    </row>
    <row r="44" spans="1:8" x14ac:dyDescent="0.25">
      <c r="A44" t="s">
        <v>51</v>
      </c>
      <c r="B44">
        <v>1.3399999079266E+17</v>
      </c>
      <c r="D44">
        <v>9.3854170000000003</v>
      </c>
      <c r="E44" s="1">
        <v>4.3814594000000003E-5</v>
      </c>
      <c r="F44">
        <v>12.8</v>
      </c>
      <c r="G44">
        <v>1</v>
      </c>
      <c r="H44">
        <v>0</v>
      </c>
    </row>
    <row r="45" spans="1:8" x14ac:dyDescent="0.25">
      <c r="A45" t="s">
        <v>52</v>
      </c>
      <c r="B45">
        <v>1.3399999175256E+17</v>
      </c>
      <c r="D45">
        <v>8.6875</v>
      </c>
      <c r="E45" s="1">
        <v>3.985087E-5</v>
      </c>
      <c r="F45">
        <v>13.4</v>
      </c>
      <c r="G45">
        <v>0</v>
      </c>
      <c r="H45">
        <v>0</v>
      </c>
    </row>
    <row r="46" spans="1:8" x14ac:dyDescent="0.25">
      <c r="A46" t="s">
        <v>53</v>
      </c>
      <c r="B46">
        <v>1.3399999271247E+17</v>
      </c>
      <c r="D46">
        <v>9.2604170000000003</v>
      </c>
      <c r="E46" s="1">
        <v>4.211375E-5</v>
      </c>
      <c r="F46">
        <v>12.9</v>
      </c>
      <c r="G46">
        <v>0</v>
      </c>
      <c r="H46">
        <v>0</v>
      </c>
    </row>
    <row r="47" spans="1:8" x14ac:dyDescent="0.25">
      <c r="A47" t="s">
        <v>54</v>
      </c>
      <c r="B47">
        <v>1.3399999367238E+17</v>
      </c>
      <c r="D47">
        <v>9.2916670000000003</v>
      </c>
      <c r="E47" s="1">
        <v>4.4358825000000001E-5</v>
      </c>
      <c r="F47">
        <v>12.6</v>
      </c>
      <c r="G47">
        <v>1</v>
      </c>
      <c r="H47">
        <v>0</v>
      </c>
    </row>
    <row r="48" spans="1:8" x14ac:dyDescent="0.25">
      <c r="A48" t="s">
        <v>55</v>
      </c>
      <c r="B48">
        <v>1.3399999463226E+17</v>
      </c>
      <c r="D48">
        <v>8.625</v>
      </c>
      <c r="E48" s="1">
        <v>3.9897156999999997E-5</v>
      </c>
      <c r="F48">
        <v>13</v>
      </c>
      <c r="G48">
        <v>0</v>
      </c>
      <c r="H48">
        <v>0</v>
      </c>
    </row>
    <row r="49" spans="1:8" x14ac:dyDescent="0.25">
      <c r="A49" t="s">
        <v>56</v>
      </c>
      <c r="B49">
        <v>1.3399999559228E+17</v>
      </c>
      <c r="D49">
        <v>9.40625</v>
      </c>
      <c r="E49" s="1">
        <v>4.6414184999999999E-5</v>
      </c>
      <c r="F49">
        <v>12.6</v>
      </c>
      <c r="G49">
        <v>1</v>
      </c>
      <c r="H49">
        <v>0</v>
      </c>
    </row>
    <row r="50" spans="1:8" x14ac:dyDescent="0.25">
      <c r="A50" t="s">
        <v>57</v>
      </c>
      <c r="B50">
        <v>1.3399999655208E+17</v>
      </c>
      <c r="D50">
        <v>8.96875</v>
      </c>
      <c r="E50" s="1">
        <v>3.9535524E-5</v>
      </c>
      <c r="F50">
        <v>13.2</v>
      </c>
      <c r="G50">
        <v>0</v>
      </c>
      <c r="H50">
        <v>0</v>
      </c>
    </row>
    <row r="51" spans="1:8" x14ac:dyDescent="0.25">
      <c r="A51" t="s">
        <v>58</v>
      </c>
      <c r="B51">
        <v>1.3399999709208E+17</v>
      </c>
      <c r="D51">
        <v>9.5865379999999991</v>
      </c>
      <c r="E51" s="1">
        <v>4.3952353999999997E-5</v>
      </c>
      <c r="F51">
        <v>12.5</v>
      </c>
      <c r="G51">
        <v>1</v>
      </c>
      <c r="H51">
        <v>0</v>
      </c>
    </row>
    <row r="52" spans="1:8" x14ac:dyDescent="0.25">
      <c r="A52" t="s">
        <v>59</v>
      </c>
      <c r="B52">
        <v>1.3399999713193E+17</v>
      </c>
      <c r="D52">
        <v>4.2946429999999998</v>
      </c>
      <c r="E52" s="1">
        <v>5.5812293E-6</v>
      </c>
      <c r="F52">
        <v>29</v>
      </c>
      <c r="G52">
        <v>0</v>
      </c>
      <c r="H52">
        <v>0</v>
      </c>
    </row>
    <row r="53" spans="1:8" x14ac:dyDescent="0.25">
      <c r="A53" t="s">
        <v>60</v>
      </c>
      <c r="B53">
        <v>1.3399999767193E+17</v>
      </c>
      <c r="D53">
        <v>4.4732139999999996</v>
      </c>
      <c r="E53" s="1">
        <v>6.1758859999999996E-6</v>
      </c>
      <c r="F53">
        <v>29</v>
      </c>
      <c r="G53">
        <v>0</v>
      </c>
      <c r="H53">
        <v>0</v>
      </c>
    </row>
    <row r="54" spans="1:8" x14ac:dyDescent="0.25">
      <c r="A54" t="s">
        <v>61</v>
      </c>
      <c r="B54">
        <v>1.3399999871192E+17</v>
      </c>
      <c r="D54">
        <v>4.2395835000000002</v>
      </c>
      <c r="E54" s="1">
        <v>5.3827920000000001E-6</v>
      </c>
      <c r="F54">
        <v>34.9</v>
      </c>
      <c r="G54">
        <v>0</v>
      </c>
      <c r="H54">
        <v>0</v>
      </c>
    </row>
    <row r="55" spans="1:8" x14ac:dyDescent="0.25">
      <c r="A55" t="s">
        <v>62</v>
      </c>
      <c r="B55">
        <v>1.3399999967179E+17</v>
      </c>
      <c r="D55">
        <v>4.1145835000000002</v>
      </c>
      <c r="E55" s="1">
        <v>5.3131102999999997E-6</v>
      </c>
      <c r="F55">
        <v>37.6</v>
      </c>
      <c r="G55">
        <v>0</v>
      </c>
      <c r="H55">
        <v>0</v>
      </c>
    </row>
    <row r="56" spans="1:8" x14ac:dyDescent="0.25">
      <c r="A56" t="s">
        <v>63</v>
      </c>
      <c r="B56">
        <v>1.3400000063175E+17</v>
      </c>
      <c r="D56">
        <v>4</v>
      </c>
      <c r="E56" s="1">
        <v>7.1070352999999996E-6</v>
      </c>
      <c r="F56">
        <v>34.9</v>
      </c>
      <c r="G56">
        <v>0</v>
      </c>
      <c r="H56">
        <v>0</v>
      </c>
    </row>
    <row r="57" spans="1:8" x14ac:dyDescent="0.25">
      <c r="A57" t="s">
        <v>64</v>
      </c>
      <c r="B57">
        <v>1.3400000159166E+17</v>
      </c>
      <c r="D57">
        <v>4.46875</v>
      </c>
      <c r="E57" s="1">
        <v>6.1930335999999997E-6</v>
      </c>
      <c r="F57">
        <v>34.5</v>
      </c>
      <c r="G57">
        <v>0</v>
      </c>
      <c r="H57">
        <v>0</v>
      </c>
    </row>
    <row r="58" spans="1:8" x14ac:dyDescent="0.25">
      <c r="A58" t="s">
        <v>65</v>
      </c>
      <c r="B58">
        <v>1.340000025515E+17</v>
      </c>
      <c r="D58">
        <v>4.3333335000000002</v>
      </c>
      <c r="E58" s="1">
        <v>7.8287759999999997E-6</v>
      </c>
      <c r="F58">
        <v>31</v>
      </c>
      <c r="G58">
        <v>0</v>
      </c>
      <c r="H58">
        <v>0</v>
      </c>
    </row>
    <row r="59" spans="1:8" x14ac:dyDescent="0.25">
      <c r="A59" t="s">
        <v>66</v>
      </c>
      <c r="B59">
        <v>1.3400000351154E+17</v>
      </c>
      <c r="D59">
        <v>4.5416664999999998</v>
      </c>
      <c r="E59" s="1">
        <v>5.6081135E-6</v>
      </c>
      <c r="F59">
        <v>34.4</v>
      </c>
      <c r="G59">
        <v>0</v>
      </c>
      <c r="H59">
        <v>0</v>
      </c>
    </row>
    <row r="60" spans="1:8" x14ac:dyDescent="0.25">
      <c r="A60" t="s">
        <v>67</v>
      </c>
      <c r="B60">
        <v>1.340000044713E+17</v>
      </c>
      <c r="D60">
        <v>4.5</v>
      </c>
      <c r="E60" s="1">
        <v>6.7815144999999999E-6</v>
      </c>
      <c r="F60">
        <v>30</v>
      </c>
      <c r="G60">
        <v>0</v>
      </c>
      <c r="H60">
        <v>0</v>
      </c>
    </row>
    <row r="61" spans="1:8" x14ac:dyDescent="0.25">
      <c r="A61" t="s">
        <v>68</v>
      </c>
      <c r="B61">
        <v>1.3400000543121E+17</v>
      </c>
      <c r="D61">
        <v>4.3229164999999998</v>
      </c>
      <c r="E61" s="1">
        <v>7.0653277E-6</v>
      </c>
      <c r="F61">
        <v>35.1</v>
      </c>
      <c r="G61">
        <v>0</v>
      </c>
      <c r="H61">
        <v>0</v>
      </c>
    </row>
    <row r="62" spans="1:8" x14ac:dyDescent="0.25">
      <c r="A62" t="s">
        <v>69</v>
      </c>
      <c r="B62">
        <v>1.3400000639123E+17</v>
      </c>
      <c r="D62">
        <v>4.46875</v>
      </c>
      <c r="E62" s="1">
        <v>4.9880980000000001E-6</v>
      </c>
      <c r="F62">
        <v>33.1</v>
      </c>
      <c r="G62">
        <v>0</v>
      </c>
      <c r="H62">
        <v>0</v>
      </c>
    </row>
    <row r="63" spans="1:8" x14ac:dyDescent="0.25">
      <c r="A63" t="s">
        <v>70</v>
      </c>
      <c r="B63">
        <v>1.3400000735105E+17</v>
      </c>
      <c r="D63">
        <v>4.4791664999999998</v>
      </c>
      <c r="E63" s="1">
        <v>7.0119219999999999E-6</v>
      </c>
      <c r="F63">
        <v>34.299999999999997</v>
      </c>
      <c r="G63">
        <v>0</v>
      </c>
      <c r="H63">
        <v>0</v>
      </c>
    </row>
    <row r="64" spans="1:8" x14ac:dyDescent="0.25">
      <c r="A64" t="s">
        <v>71</v>
      </c>
      <c r="B64">
        <v>1.34000008311E+17</v>
      </c>
      <c r="D64">
        <v>4.4583335000000002</v>
      </c>
      <c r="E64" s="1">
        <v>5.7932533999999996E-6</v>
      </c>
      <c r="F64">
        <v>33.1</v>
      </c>
      <c r="G64">
        <v>0</v>
      </c>
      <c r="H64">
        <v>0</v>
      </c>
    </row>
    <row r="65" spans="1:8" x14ac:dyDescent="0.25">
      <c r="A65" t="s">
        <v>72</v>
      </c>
      <c r="B65">
        <v>1.3400000927094E+17</v>
      </c>
      <c r="D65">
        <v>4.4791664999999998</v>
      </c>
      <c r="E65" s="1">
        <v>6.2891639999999997E-6</v>
      </c>
      <c r="F65">
        <v>37.200000000000003</v>
      </c>
      <c r="G65">
        <v>0</v>
      </c>
      <c r="H65">
        <v>0</v>
      </c>
    </row>
    <row r="66" spans="1:8" x14ac:dyDescent="0.25">
      <c r="A66" t="s">
        <v>73</v>
      </c>
      <c r="B66">
        <v>1.340000102308E+17</v>
      </c>
      <c r="D66">
        <v>4.4583335000000002</v>
      </c>
      <c r="E66" s="1">
        <v>5.7088214E-6</v>
      </c>
      <c r="F66">
        <v>35.700000000000003</v>
      </c>
      <c r="G66">
        <v>0</v>
      </c>
      <c r="H66">
        <v>0</v>
      </c>
    </row>
    <row r="67" spans="1:8" x14ac:dyDescent="0.25">
      <c r="A67" t="s">
        <v>74</v>
      </c>
      <c r="B67">
        <v>1.3400001119072E+17</v>
      </c>
      <c r="D67">
        <v>4.3125</v>
      </c>
      <c r="E67" s="1">
        <v>4.4311523000000002E-6</v>
      </c>
      <c r="F67">
        <v>36.200000000000003</v>
      </c>
      <c r="G67">
        <v>0</v>
      </c>
      <c r="H67">
        <v>0</v>
      </c>
    </row>
    <row r="68" spans="1:8" x14ac:dyDescent="0.25">
      <c r="A68" t="s">
        <v>75</v>
      </c>
      <c r="B68">
        <v>1.3400001215066E+17</v>
      </c>
      <c r="D68">
        <v>4.6145835000000002</v>
      </c>
      <c r="E68" s="1">
        <v>5.1127116999999999E-6</v>
      </c>
      <c r="F68">
        <v>37.299999999999997</v>
      </c>
      <c r="G68">
        <v>0</v>
      </c>
      <c r="H68">
        <v>0</v>
      </c>
    </row>
    <row r="69" spans="1:8" x14ac:dyDescent="0.25">
      <c r="A69" t="s">
        <v>76</v>
      </c>
      <c r="B69">
        <v>1.3400001311053E+17</v>
      </c>
      <c r="D69">
        <v>4.3645835000000002</v>
      </c>
      <c r="E69" s="1">
        <v>5.5755613000000003E-6</v>
      </c>
      <c r="F69">
        <v>35.700000000000003</v>
      </c>
      <c r="G69">
        <v>0</v>
      </c>
      <c r="H69">
        <v>0</v>
      </c>
    </row>
    <row r="70" spans="1:8" x14ac:dyDescent="0.25">
      <c r="A70" t="s">
        <v>77</v>
      </c>
      <c r="B70">
        <v>1.3400001407041E+17</v>
      </c>
      <c r="D70">
        <v>4.4583335000000002</v>
      </c>
      <c r="E70" s="1">
        <v>4.7129314999999997E-6</v>
      </c>
      <c r="F70">
        <v>31.9</v>
      </c>
      <c r="G70">
        <v>0</v>
      </c>
      <c r="H70">
        <v>0</v>
      </c>
    </row>
    <row r="71" spans="1:8" x14ac:dyDescent="0.25">
      <c r="A71" t="s">
        <v>78</v>
      </c>
      <c r="B71">
        <v>1.3400001503038E+17</v>
      </c>
      <c r="D71">
        <v>4.2916664999999998</v>
      </c>
      <c r="E71" s="1">
        <v>5.7327269999999999E-6</v>
      </c>
      <c r="F71">
        <v>36</v>
      </c>
      <c r="G71">
        <v>0</v>
      </c>
      <c r="H71">
        <v>0</v>
      </c>
    </row>
    <row r="72" spans="1:8" x14ac:dyDescent="0.25">
      <c r="A72" t="s">
        <v>79</v>
      </c>
      <c r="B72">
        <v>1.3400001599025E+17</v>
      </c>
      <c r="D72">
        <v>4.3854164999999998</v>
      </c>
      <c r="E72" s="1">
        <v>7.2967528000000001E-6</v>
      </c>
      <c r="F72">
        <v>33.4</v>
      </c>
      <c r="G72">
        <v>0</v>
      </c>
      <c r="H72">
        <v>0</v>
      </c>
    </row>
    <row r="73" spans="1:8" x14ac:dyDescent="0.25">
      <c r="A73" t="s">
        <v>80</v>
      </c>
      <c r="B73">
        <v>1.340000169502E+17</v>
      </c>
      <c r="D73">
        <v>4.21875</v>
      </c>
      <c r="E73" s="1">
        <v>6.8181357000000003E-6</v>
      </c>
      <c r="F73">
        <v>36.200000000000003</v>
      </c>
      <c r="G73">
        <v>0</v>
      </c>
      <c r="H73">
        <v>0</v>
      </c>
    </row>
    <row r="74" spans="1:8" x14ac:dyDescent="0.25">
      <c r="A74" t="s">
        <v>81</v>
      </c>
      <c r="B74">
        <v>1.3400001790999E+17</v>
      </c>
      <c r="D74">
        <v>3.6979166999999999</v>
      </c>
      <c r="E74" s="1">
        <v>3.5237630000000001E-6</v>
      </c>
      <c r="F74">
        <v>32.5</v>
      </c>
      <c r="G74">
        <v>0</v>
      </c>
      <c r="H74">
        <v>0</v>
      </c>
    </row>
    <row r="75" spans="1:8" x14ac:dyDescent="0.25">
      <c r="A75" t="s">
        <v>82</v>
      </c>
      <c r="B75">
        <v>1.3400001886994E+17</v>
      </c>
      <c r="D75">
        <v>4.4791664999999998</v>
      </c>
      <c r="E75" s="1">
        <v>6.9096879999999998E-6</v>
      </c>
      <c r="F75">
        <v>34.700000000000003</v>
      </c>
      <c r="G75">
        <v>0</v>
      </c>
      <c r="H75">
        <v>0</v>
      </c>
    </row>
    <row r="76" spans="1:8" x14ac:dyDescent="0.25">
      <c r="A76" t="s">
        <v>83</v>
      </c>
      <c r="B76">
        <v>1.3400001982986E+17</v>
      </c>
      <c r="D76">
        <v>4.0416664999999998</v>
      </c>
      <c r="E76" s="1">
        <v>5.5384317000000004E-6</v>
      </c>
      <c r="F76">
        <v>35.5</v>
      </c>
      <c r="G76">
        <v>0</v>
      </c>
      <c r="H76">
        <v>0</v>
      </c>
    </row>
    <row r="77" spans="1:8" x14ac:dyDescent="0.25">
      <c r="A77" t="s">
        <v>84</v>
      </c>
      <c r="B77">
        <v>1.3400002078977E+17</v>
      </c>
      <c r="D77">
        <v>3.8125</v>
      </c>
      <c r="E77" s="1">
        <v>5.4133097000000004E-6</v>
      </c>
      <c r="F77">
        <v>37.9</v>
      </c>
      <c r="G77">
        <v>0</v>
      </c>
      <c r="H77">
        <v>0</v>
      </c>
    </row>
    <row r="78" spans="1:8" x14ac:dyDescent="0.25">
      <c r="A78" t="s">
        <v>85</v>
      </c>
      <c r="B78">
        <v>1.3400002174968E+17</v>
      </c>
      <c r="D78">
        <v>4.2916664999999998</v>
      </c>
      <c r="E78" s="1">
        <v>6.7016604000000001E-6</v>
      </c>
      <c r="F78">
        <v>32</v>
      </c>
      <c r="G78">
        <v>0</v>
      </c>
      <c r="H78">
        <v>0</v>
      </c>
    </row>
    <row r="79" spans="1:8" x14ac:dyDescent="0.25">
      <c r="A79" t="s">
        <v>86</v>
      </c>
      <c r="B79">
        <v>1.3400002270954E+17</v>
      </c>
      <c r="D79">
        <v>4.125</v>
      </c>
      <c r="E79" s="1">
        <v>5.8273317000000003E-6</v>
      </c>
      <c r="F79">
        <v>34.9</v>
      </c>
      <c r="G79">
        <v>0</v>
      </c>
      <c r="H79">
        <v>0</v>
      </c>
    </row>
    <row r="80" spans="1:8" x14ac:dyDescent="0.25">
      <c r="A80" t="s">
        <v>87</v>
      </c>
      <c r="B80">
        <v>1.3400002366957E+17</v>
      </c>
      <c r="D80">
        <v>4.4583335000000002</v>
      </c>
      <c r="E80" s="1">
        <v>7.3720300000000003E-6</v>
      </c>
      <c r="F80">
        <v>33.799999999999997</v>
      </c>
      <c r="G80">
        <v>0</v>
      </c>
      <c r="H80">
        <v>0</v>
      </c>
    </row>
    <row r="81" spans="1:8" x14ac:dyDescent="0.25">
      <c r="A81" t="s">
        <v>88</v>
      </c>
      <c r="B81">
        <v>1.3400002462938E+17</v>
      </c>
      <c r="D81">
        <v>4.5833335000000002</v>
      </c>
      <c r="E81" s="1">
        <v>5.9214275999999999E-6</v>
      </c>
      <c r="F81">
        <v>30</v>
      </c>
      <c r="G81">
        <v>0</v>
      </c>
      <c r="H81">
        <v>0</v>
      </c>
    </row>
    <row r="82" spans="1:8" x14ac:dyDescent="0.25">
      <c r="A82" t="s">
        <v>89</v>
      </c>
      <c r="B82">
        <v>1.3400002558934E+17</v>
      </c>
      <c r="D82">
        <v>4.3333335000000002</v>
      </c>
      <c r="E82" s="1">
        <v>4.5969645999999997E-6</v>
      </c>
      <c r="F82">
        <v>34.700000000000003</v>
      </c>
      <c r="G82">
        <v>0</v>
      </c>
      <c r="H82">
        <v>0</v>
      </c>
    </row>
    <row r="83" spans="1:8" x14ac:dyDescent="0.25">
      <c r="A83" t="s">
        <v>90</v>
      </c>
      <c r="B83">
        <v>1.3400002654924E+17</v>
      </c>
      <c r="D83">
        <v>4.2291664999999998</v>
      </c>
      <c r="E83" s="1">
        <v>5.6198120000000003E-6</v>
      </c>
      <c r="F83">
        <v>35.799999999999997</v>
      </c>
      <c r="G83">
        <v>0</v>
      </c>
      <c r="H83">
        <v>0</v>
      </c>
    </row>
    <row r="84" spans="1:8" x14ac:dyDescent="0.25">
      <c r="A84" t="s">
        <v>91</v>
      </c>
      <c r="B84">
        <v>1.3400002750917E+17</v>
      </c>
      <c r="D84">
        <v>4.2708335000000002</v>
      </c>
      <c r="E84" s="1">
        <v>6.6502889999999996E-6</v>
      </c>
      <c r="F84">
        <v>38.1</v>
      </c>
      <c r="G84">
        <v>0</v>
      </c>
      <c r="H84">
        <v>0</v>
      </c>
    </row>
    <row r="85" spans="1:8" x14ac:dyDescent="0.25">
      <c r="A85" t="s">
        <v>92</v>
      </c>
      <c r="B85">
        <v>1.3400002846901E+17</v>
      </c>
      <c r="D85">
        <v>4.4166664999999998</v>
      </c>
      <c r="E85" s="1">
        <v>5.4107669999999997E-6</v>
      </c>
      <c r="F85">
        <v>33.4</v>
      </c>
      <c r="G85">
        <v>0</v>
      </c>
      <c r="H85">
        <v>0</v>
      </c>
    </row>
    <row r="86" spans="1:8" x14ac:dyDescent="0.25">
      <c r="A86" t="s">
        <v>93</v>
      </c>
      <c r="B86">
        <v>1.34000029429E+17</v>
      </c>
      <c r="D86">
        <v>4.5</v>
      </c>
      <c r="E86" s="1">
        <v>6.2403360000000004E-6</v>
      </c>
      <c r="F86">
        <v>31.2</v>
      </c>
      <c r="G86">
        <v>0</v>
      </c>
      <c r="H86">
        <v>0</v>
      </c>
    </row>
    <row r="87" spans="1:8" x14ac:dyDescent="0.25">
      <c r="A87" t="s">
        <v>94</v>
      </c>
      <c r="B87">
        <v>1.3400003038881E+17</v>
      </c>
      <c r="D87">
        <v>4.2604164999999998</v>
      </c>
      <c r="E87" s="1">
        <v>4.3624877E-6</v>
      </c>
      <c r="F87">
        <v>36.1</v>
      </c>
      <c r="G87">
        <v>0</v>
      </c>
      <c r="H87">
        <v>0</v>
      </c>
    </row>
    <row r="88" spans="1:8" x14ac:dyDescent="0.25">
      <c r="A88" t="s">
        <v>95</v>
      </c>
      <c r="B88">
        <v>1.340000313488E+17</v>
      </c>
      <c r="D88">
        <v>4.28125</v>
      </c>
      <c r="E88" s="1">
        <v>5.1483153000000003E-6</v>
      </c>
      <c r="F88">
        <v>34.1</v>
      </c>
      <c r="G88">
        <v>0</v>
      </c>
      <c r="H88">
        <v>0</v>
      </c>
    </row>
    <row r="89" spans="1:8" x14ac:dyDescent="0.25">
      <c r="A89" t="s">
        <v>96</v>
      </c>
      <c r="B89">
        <v>1.3400003230865E+17</v>
      </c>
      <c r="D89">
        <v>4</v>
      </c>
      <c r="E89" s="1">
        <v>5.3894039999999997E-6</v>
      </c>
      <c r="F89">
        <v>34.299999999999997</v>
      </c>
      <c r="G89">
        <v>0</v>
      </c>
      <c r="H89">
        <v>0</v>
      </c>
    </row>
    <row r="90" spans="1:8" x14ac:dyDescent="0.25">
      <c r="A90" t="s">
        <v>97</v>
      </c>
      <c r="B90">
        <v>1.3400003326856E+17</v>
      </c>
      <c r="D90">
        <v>4.34375</v>
      </c>
      <c r="E90" s="1">
        <v>5.5089313000000004E-6</v>
      </c>
      <c r="F90">
        <v>38.6</v>
      </c>
      <c r="G90">
        <v>0</v>
      </c>
      <c r="H90">
        <v>0</v>
      </c>
    </row>
    <row r="91" spans="1:8" x14ac:dyDescent="0.25">
      <c r="A91" t="s">
        <v>98</v>
      </c>
      <c r="B91">
        <v>1.3400003422849E+17</v>
      </c>
      <c r="D91">
        <v>4.28125</v>
      </c>
      <c r="E91" s="1">
        <v>5.1539105000000003E-6</v>
      </c>
      <c r="F91">
        <v>34.9</v>
      </c>
      <c r="G91">
        <v>0</v>
      </c>
      <c r="H91">
        <v>0</v>
      </c>
    </row>
    <row r="92" spans="1:8" x14ac:dyDescent="0.25">
      <c r="A92" t="s">
        <v>99</v>
      </c>
      <c r="B92">
        <v>1.3400003518838E+17</v>
      </c>
      <c r="D92">
        <v>4.46875</v>
      </c>
      <c r="E92" s="1">
        <v>7.1090699999999999E-6</v>
      </c>
      <c r="F92">
        <v>31</v>
      </c>
      <c r="G92">
        <v>0</v>
      </c>
      <c r="H92">
        <v>0</v>
      </c>
    </row>
    <row r="93" spans="1:8" x14ac:dyDescent="0.25">
      <c r="A93" t="s">
        <v>100</v>
      </c>
      <c r="B93">
        <v>1.3400003614835E+17</v>
      </c>
      <c r="D93">
        <v>4.375</v>
      </c>
      <c r="E93" s="1">
        <v>6.4534505999999997E-6</v>
      </c>
      <c r="F93">
        <v>33.6</v>
      </c>
      <c r="G93">
        <v>0</v>
      </c>
      <c r="H93">
        <v>0</v>
      </c>
    </row>
    <row r="94" spans="1:8" x14ac:dyDescent="0.25">
      <c r="A94" t="s">
        <v>101</v>
      </c>
      <c r="B94">
        <v>1.3400003710818E+17</v>
      </c>
      <c r="D94">
        <v>4.0104164999999998</v>
      </c>
      <c r="E94" s="1">
        <v>6.3761395000000004E-6</v>
      </c>
      <c r="F94">
        <v>31.8</v>
      </c>
      <c r="G94">
        <v>0</v>
      </c>
      <c r="H9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4D6C-4723-4FA3-B375-4B5CB0FCEA3A}">
  <dimension ref="A1:I44"/>
  <sheetViews>
    <sheetView workbookViewId="0">
      <selection activeCell="K1" sqref="K1"/>
    </sheetView>
  </sheetViews>
  <sheetFormatPr defaultRowHeight="15" x14ac:dyDescent="0.25"/>
  <cols>
    <col min="9" max="9" width="12" bestFit="1" customWidth="1"/>
  </cols>
  <sheetData>
    <row r="1" spans="1:9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16</v>
      </c>
      <c r="B2">
        <v>1.3399995744706E+17</v>
      </c>
      <c r="D2">
        <v>9.1764709999999994</v>
      </c>
      <c r="E2" s="1">
        <v>3.7325615000000002E-5</v>
      </c>
      <c r="F2">
        <v>12</v>
      </c>
      <c r="G2">
        <v>0</v>
      </c>
      <c r="H2">
        <v>0</v>
      </c>
      <c r="I2">
        <f>B44-B2</f>
        <v>39645020000</v>
      </c>
    </row>
    <row r="3" spans="1:9" x14ac:dyDescent="0.25">
      <c r="A3" t="s">
        <v>17</v>
      </c>
      <c r="B3">
        <v>1.3399995804086E+17</v>
      </c>
      <c r="D3">
        <v>8.8571419999999996</v>
      </c>
      <c r="E3" s="1">
        <v>3.8901245999999999E-5</v>
      </c>
      <c r="F3">
        <v>12</v>
      </c>
      <c r="G3">
        <v>0</v>
      </c>
      <c r="H3">
        <v>0</v>
      </c>
      <c r="I3">
        <f>I2/10000000</f>
        <v>3964.502</v>
      </c>
    </row>
    <row r="4" spans="1:9" x14ac:dyDescent="0.25">
      <c r="A4" t="s">
        <v>18</v>
      </c>
      <c r="B4">
        <v>1.3399995911557E+17</v>
      </c>
      <c r="D4">
        <v>9.3854170000000003</v>
      </c>
      <c r="E4" s="1">
        <v>4.7031655000000003E-5</v>
      </c>
      <c r="F4">
        <v>12.3</v>
      </c>
      <c r="G4">
        <v>1</v>
      </c>
      <c r="H4">
        <v>0</v>
      </c>
    </row>
    <row r="5" spans="1:9" x14ac:dyDescent="0.25">
      <c r="A5" t="s">
        <v>19</v>
      </c>
      <c r="B5">
        <v>1.3399996007562E+17</v>
      </c>
      <c r="D5">
        <v>8.3958329999999997</v>
      </c>
      <c r="E5" s="1">
        <v>3.6727906000000001E-5</v>
      </c>
      <c r="F5">
        <v>14</v>
      </c>
      <c r="G5">
        <v>0</v>
      </c>
      <c r="H5">
        <v>0</v>
      </c>
    </row>
    <row r="6" spans="1:9" x14ac:dyDescent="0.25">
      <c r="A6" t="s">
        <v>20</v>
      </c>
      <c r="B6">
        <v>1.3399996103544E+17</v>
      </c>
      <c r="D6">
        <v>8.8854170000000003</v>
      </c>
      <c r="E6" s="1">
        <v>4.5386251999999998E-5</v>
      </c>
      <c r="F6">
        <v>12.7</v>
      </c>
      <c r="G6">
        <v>1</v>
      </c>
      <c r="H6">
        <v>0</v>
      </c>
    </row>
    <row r="7" spans="1:9" x14ac:dyDescent="0.25">
      <c r="A7" t="s">
        <v>21</v>
      </c>
      <c r="B7">
        <v>1.3399996199547E+17</v>
      </c>
      <c r="D7">
        <v>8.8541670000000003</v>
      </c>
      <c r="E7" s="1">
        <v>3.6778769999999999E-5</v>
      </c>
      <c r="F7">
        <v>14</v>
      </c>
      <c r="G7">
        <v>0</v>
      </c>
      <c r="H7">
        <v>0</v>
      </c>
    </row>
    <row r="8" spans="1:9" x14ac:dyDescent="0.25">
      <c r="A8" t="s">
        <v>22</v>
      </c>
      <c r="B8">
        <v>1.3399996295525E+17</v>
      </c>
      <c r="D8">
        <v>9.3854170000000003</v>
      </c>
      <c r="E8" s="1">
        <v>4.2573040000000003E-5</v>
      </c>
      <c r="F8">
        <v>13</v>
      </c>
      <c r="G8">
        <v>0</v>
      </c>
      <c r="H8">
        <v>0</v>
      </c>
    </row>
    <row r="9" spans="1:9" x14ac:dyDescent="0.25">
      <c r="A9" t="s">
        <v>23</v>
      </c>
      <c r="B9">
        <v>1.3399996391509E+17</v>
      </c>
      <c r="D9">
        <v>9.1145829999999997</v>
      </c>
      <c r="E9" s="1">
        <v>4.2808024E-5</v>
      </c>
      <c r="F9">
        <v>12.7</v>
      </c>
      <c r="G9">
        <v>1</v>
      </c>
      <c r="H9">
        <v>0</v>
      </c>
    </row>
    <row r="10" spans="1:9" x14ac:dyDescent="0.25">
      <c r="A10" t="s">
        <v>24</v>
      </c>
      <c r="B10">
        <v>1.3399996487515E+17</v>
      </c>
      <c r="D10">
        <v>9.46875</v>
      </c>
      <c r="E10" s="1">
        <v>4.2783610000000002E-5</v>
      </c>
      <c r="F10">
        <v>12.9</v>
      </c>
      <c r="G10">
        <v>1</v>
      </c>
      <c r="H10">
        <v>0</v>
      </c>
    </row>
    <row r="11" spans="1:9" x14ac:dyDescent="0.25">
      <c r="A11" t="s">
        <v>25</v>
      </c>
      <c r="B11">
        <v>1.339999658349E+17</v>
      </c>
      <c r="D11">
        <v>9.28125</v>
      </c>
      <c r="E11" s="1">
        <v>4.6260069999999999E-5</v>
      </c>
      <c r="F11">
        <v>12.6</v>
      </c>
      <c r="G11">
        <v>1</v>
      </c>
      <c r="H11">
        <v>0</v>
      </c>
    </row>
    <row r="12" spans="1:9" x14ac:dyDescent="0.25">
      <c r="A12" t="s">
        <v>26</v>
      </c>
      <c r="B12">
        <v>1.3399996679498E+17</v>
      </c>
      <c r="D12">
        <v>9.4479170000000003</v>
      </c>
      <c r="E12" s="1">
        <v>4.2405189999999998E-5</v>
      </c>
      <c r="F12">
        <v>12.7</v>
      </c>
      <c r="G12">
        <v>0</v>
      </c>
      <c r="H12">
        <v>0</v>
      </c>
    </row>
    <row r="13" spans="1:9" x14ac:dyDescent="0.25">
      <c r="A13" t="s">
        <v>27</v>
      </c>
      <c r="B13">
        <v>1.339999677549E+17</v>
      </c>
      <c r="D13">
        <v>8.9583329999999997</v>
      </c>
      <c r="E13" s="1">
        <v>4.7515870000000001E-5</v>
      </c>
      <c r="F13">
        <v>12.7</v>
      </c>
      <c r="G13">
        <v>1</v>
      </c>
      <c r="H13">
        <v>0</v>
      </c>
    </row>
    <row r="14" spans="1:9" x14ac:dyDescent="0.25">
      <c r="A14" t="s">
        <v>28</v>
      </c>
      <c r="B14">
        <v>1.3399996871478E+17</v>
      </c>
      <c r="D14">
        <v>8.7395829999999997</v>
      </c>
      <c r="E14" s="1">
        <v>4.2996217E-5</v>
      </c>
      <c r="F14">
        <v>12.9</v>
      </c>
      <c r="G14">
        <v>1</v>
      </c>
      <c r="H14">
        <v>0</v>
      </c>
    </row>
    <row r="15" spans="1:9" x14ac:dyDescent="0.25">
      <c r="A15" t="s">
        <v>29</v>
      </c>
      <c r="B15">
        <v>1.3399996967463E+17</v>
      </c>
      <c r="D15">
        <v>9.2395829999999997</v>
      </c>
      <c r="E15" s="1">
        <v>3.9793394999999997E-5</v>
      </c>
      <c r="F15">
        <v>12.9</v>
      </c>
      <c r="G15">
        <v>0</v>
      </c>
      <c r="H15">
        <v>0</v>
      </c>
    </row>
    <row r="16" spans="1:9" x14ac:dyDescent="0.25">
      <c r="A16" t="s">
        <v>30</v>
      </c>
      <c r="B16">
        <v>1.3399997063461E+17</v>
      </c>
      <c r="D16">
        <v>8.4791670000000003</v>
      </c>
      <c r="E16" s="1">
        <v>4.0062460000000002E-5</v>
      </c>
      <c r="F16">
        <v>13.2</v>
      </c>
      <c r="G16">
        <v>0</v>
      </c>
      <c r="H16">
        <v>0</v>
      </c>
    </row>
    <row r="17" spans="1:8" x14ac:dyDescent="0.25">
      <c r="A17" t="s">
        <v>31</v>
      </c>
      <c r="B17">
        <v>1.3399997159453E+17</v>
      </c>
      <c r="D17">
        <v>9.5</v>
      </c>
      <c r="E17" s="1">
        <v>4.2695618000000001E-5</v>
      </c>
      <c r="F17">
        <v>12.5</v>
      </c>
      <c r="G17">
        <v>1</v>
      </c>
      <c r="H17">
        <v>0</v>
      </c>
    </row>
    <row r="18" spans="1:8" x14ac:dyDescent="0.25">
      <c r="A18" t="s">
        <v>32</v>
      </c>
      <c r="B18">
        <v>1.3399997255436E+17</v>
      </c>
      <c r="D18">
        <v>8.9583329999999997</v>
      </c>
      <c r="E18" s="1">
        <v>3.8682556000000001E-5</v>
      </c>
      <c r="F18">
        <v>13.3</v>
      </c>
      <c r="G18">
        <v>0</v>
      </c>
      <c r="H18">
        <v>0</v>
      </c>
    </row>
    <row r="19" spans="1:8" x14ac:dyDescent="0.25">
      <c r="A19" t="s">
        <v>33</v>
      </c>
      <c r="B19">
        <v>1.3399997351417E+17</v>
      </c>
      <c r="D19">
        <v>9.1354170000000003</v>
      </c>
      <c r="E19" s="1">
        <v>3.8575236000000001E-5</v>
      </c>
      <c r="F19">
        <v>13.3</v>
      </c>
      <c r="G19">
        <v>0</v>
      </c>
      <c r="H19">
        <v>0</v>
      </c>
    </row>
    <row r="20" spans="1:8" x14ac:dyDescent="0.25">
      <c r="A20" t="s">
        <v>34</v>
      </c>
      <c r="B20">
        <v>1.3399997447421E+17</v>
      </c>
      <c r="D20">
        <v>8.9479170000000003</v>
      </c>
      <c r="E20" s="1">
        <v>4.1412353000000002E-5</v>
      </c>
      <c r="F20">
        <v>13.2</v>
      </c>
      <c r="G20">
        <v>0</v>
      </c>
      <c r="H20">
        <v>0</v>
      </c>
    </row>
    <row r="21" spans="1:8" x14ac:dyDescent="0.25">
      <c r="A21" t="s">
        <v>35</v>
      </c>
      <c r="B21">
        <v>1.3399997543409E+17</v>
      </c>
      <c r="D21">
        <v>9.15625</v>
      </c>
      <c r="E21" s="1">
        <v>4.199219E-5</v>
      </c>
      <c r="F21">
        <v>13</v>
      </c>
      <c r="G21">
        <v>0</v>
      </c>
      <c r="H21">
        <v>0</v>
      </c>
    </row>
    <row r="22" spans="1:8" x14ac:dyDescent="0.25">
      <c r="A22" t="s">
        <v>36</v>
      </c>
      <c r="B22">
        <v>1.3399997639407E+17</v>
      </c>
      <c r="D22">
        <v>9.3125</v>
      </c>
      <c r="E22" s="1">
        <v>4.2536415999999999E-5</v>
      </c>
      <c r="F22">
        <v>12.7</v>
      </c>
      <c r="G22">
        <v>0</v>
      </c>
      <c r="H22">
        <v>0</v>
      </c>
    </row>
    <row r="23" spans="1:8" x14ac:dyDescent="0.25">
      <c r="A23" t="s">
        <v>37</v>
      </c>
      <c r="B23">
        <v>1.3399997735402E+17</v>
      </c>
      <c r="D23">
        <v>9.03125</v>
      </c>
      <c r="E23" s="1">
        <v>4.3507385000000002E-5</v>
      </c>
      <c r="F23">
        <v>12.7</v>
      </c>
      <c r="G23">
        <v>1</v>
      </c>
      <c r="H23">
        <v>0</v>
      </c>
    </row>
    <row r="24" spans="1:8" x14ac:dyDescent="0.25">
      <c r="A24" t="s">
        <v>38</v>
      </c>
      <c r="B24">
        <v>1.33999978314E+17</v>
      </c>
      <c r="D24">
        <v>9.1145829999999997</v>
      </c>
      <c r="E24" s="1">
        <v>4.1018676999999998E-5</v>
      </c>
      <c r="F24">
        <v>12.5</v>
      </c>
      <c r="G24">
        <v>0</v>
      </c>
      <c r="H24">
        <v>0</v>
      </c>
    </row>
    <row r="25" spans="1:8" x14ac:dyDescent="0.25">
      <c r="A25" t="s">
        <v>39</v>
      </c>
      <c r="B25">
        <v>1.3399997927382E+17</v>
      </c>
      <c r="D25">
        <v>9.0520829999999997</v>
      </c>
      <c r="E25" s="1">
        <v>4.4573975000000002E-5</v>
      </c>
      <c r="F25">
        <v>12.9</v>
      </c>
      <c r="G25">
        <v>1</v>
      </c>
      <c r="H25">
        <v>0</v>
      </c>
    </row>
    <row r="26" spans="1:8" x14ac:dyDescent="0.25">
      <c r="A26" t="s">
        <v>40</v>
      </c>
      <c r="B26">
        <v>1.3399998023343E+17</v>
      </c>
      <c r="D26">
        <v>8.8333329999999997</v>
      </c>
      <c r="E26" s="1">
        <v>4.2640179999999997E-5</v>
      </c>
      <c r="F26">
        <v>12.9</v>
      </c>
      <c r="G26">
        <v>0</v>
      </c>
      <c r="H26">
        <v>0</v>
      </c>
    </row>
    <row r="27" spans="1:8" x14ac:dyDescent="0.25">
      <c r="A27" t="s">
        <v>41</v>
      </c>
      <c r="B27">
        <v>1.3399998119343E+17</v>
      </c>
      <c r="D27">
        <v>9.1875</v>
      </c>
      <c r="E27" s="1">
        <v>4.231059E-5</v>
      </c>
      <c r="F27">
        <v>12.7</v>
      </c>
      <c r="G27">
        <v>0</v>
      </c>
      <c r="H27">
        <v>0</v>
      </c>
    </row>
    <row r="28" spans="1:8" x14ac:dyDescent="0.25">
      <c r="A28" t="s">
        <v>42</v>
      </c>
      <c r="B28">
        <v>1.3399998215352E+17</v>
      </c>
      <c r="D28">
        <v>9.1770829999999997</v>
      </c>
      <c r="E28" s="1">
        <v>3.9752707000000002E-5</v>
      </c>
      <c r="F28">
        <v>13.2</v>
      </c>
      <c r="G28">
        <v>0</v>
      </c>
      <c r="H28">
        <v>0</v>
      </c>
    </row>
    <row r="29" spans="1:8" x14ac:dyDescent="0.25">
      <c r="A29" t="s">
        <v>43</v>
      </c>
      <c r="B29">
        <v>1.3399998311276E+17</v>
      </c>
      <c r="D29">
        <v>8.4791670000000003</v>
      </c>
      <c r="E29" s="1">
        <v>3.9691163999999999E-5</v>
      </c>
      <c r="F29">
        <v>13.5</v>
      </c>
      <c r="G29">
        <v>0</v>
      </c>
      <c r="H29">
        <v>0</v>
      </c>
    </row>
    <row r="30" spans="1:8" x14ac:dyDescent="0.25">
      <c r="A30" t="s">
        <v>44</v>
      </c>
      <c r="B30">
        <v>1.3399998407332E+17</v>
      </c>
      <c r="D30">
        <v>8.7604170000000003</v>
      </c>
      <c r="E30" s="1">
        <v>3.3765666999999997E-5</v>
      </c>
      <c r="F30">
        <v>13.8</v>
      </c>
      <c r="G30">
        <v>0</v>
      </c>
      <c r="H30">
        <v>0</v>
      </c>
    </row>
    <row r="31" spans="1:8" x14ac:dyDescent="0.25">
      <c r="A31" t="s">
        <v>45</v>
      </c>
      <c r="B31">
        <v>1.3399998503326E+17</v>
      </c>
      <c r="D31">
        <v>9.2395829999999997</v>
      </c>
      <c r="E31" s="1">
        <v>3.9782712999999997E-5</v>
      </c>
      <c r="F31">
        <v>13.2</v>
      </c>
      <c r="G31">
        <v>0</v>
      </c>
      <c r="H31">
        <v>0</v>
      </c>
    </row>
    <row r="32" spans="1:8" x14ac:dyDescent="0.25">
      <c r="A32" t="s">
        <v>46</v>
      </c>
      <c r="B32">
        <v>1.3399998599311E+17</v>
      </c>
      <c r="D32">
        <v>9.59375</v>
      </c>
      <c r="E32" s="1">
        <v>3.9944967000000001E-5</v>
      </c>
      <c r="F32">
        <v>13.2</v>
      </c>
      <c r="G32">
        <v>0</v>
      </c>
      <c r="H32">
        <v>0</v>
      </c>
    </row>
    <row r="33" spans="1:8" x14ac:dyDescent="0.25">
      <c r="A33" t="s">
        <v>47</v>
      </c>
      <c r="B33">
        <v>1.3399998695295E+17</v>
      </c>
      <c r="D33">
        <v>8.84375</v>
      </c>
      <c r="E33" s="1">
        <v>4.3174743000000003E-5</v>
      </c>
      <c r="F33">
        <v>13</v>
      </c>
      <c r="G33">
        <v>1</v>
      </c>
      <c r="H33">
        <v>0</v>
      </c>
    </row>
    <row r="34" spans="1:8" x14ac:dyDescent="0.25">
      <c r="A34" t="s">
        <v>48</v>
      </c>
      <c r="B34">
        <v>1.3399998791301E+17</v>
      </c>
      <c r="D34">
        <v>9.5416670000000003</v>
      </c>
      <c r="E34" s="1">
        <v>4.1913860000000003E-5</v>
      </c>
      <c r="F34">
        <v>13</v>
      </c>
      <c r="G34">
        <v>0</v>
      </c>
      <c r="H34">
        <v>0</v>
      </c>
    </row>
    <row r="35" spans="1:8" x14ac:dyDescent="0.25">
      <c r="A35" t="s">
        <v>49</v>
      </c>
      <c r="B35">
        <v>1.3399998887272E+17</v>
      </c>
      <c r="D35">
        <v>8.5104170000000003</v>
      </c>
      <c r="E35" s="1">
        <v>3.9549762999999997E-5</v>
      </c>
      <c r="F35">
        <v>13.1</v>
      </c>
      <c r="G35">
        <v>0</v>
      </c>
      <c r="H35">
        <v>0</v>
      </c>
    </row>
    <row r="36" spans="1:8" x14ac:dyDescent="0.25">
      <c r="A36" t="s">
        <v>50</v>
      </c>
      <c r="B36">
        <v>1.3399998983269E+17</v>
      </c>
      <c r="D36">
        <v>8.75</v>
      </c>
      <c r="E36" s="1">
        <v>4.1727699999999997E-5</v>
      </c>
      <c r="F36">
        <v>13.1</v>
      </c>
      <c r="G36">
        <v>0</v>
      </c>
      <c r="H36">
        <v>0</v>
      </c>
    </row>
    <row r="37" spans="1:8" x14ac:dyDescent="0.25">
      <c r="A37" t="s">
        <v>51</v>
      </c>
      <c r="B37">
        <v>1.3399999079266E+17</v>
      </c>
      <c r="D37">
        <v>9.3854170000000003</v>
      </c>
      <c r="E37" s="1">
        <v>4.3814594000000003E-5</v>
      </c>
      <c r="F37">
        <v>12.8</v>
      </c>
      <c r="G37">
        <v>1</v>
      </c>
      <c r="H37">
        <v>0</v>
      </c>
    </row>
    <row r="38" spans="1:8" x14ac:dyDescent="0.25">
      <c r="A38" t="s">
        <v>52</v>
      </c>
      <c r="B38">
        <v>1.3399999175256E+17</v>
      </c>
      <c r="D38">
        <v>8.6875</v>
      </c>
      <c r="E38" s="1">
        <v>3.985087E-5</v>
      </c>
      <c r="F38">
        <v>13.4</v>
      </c>
      <c r="G38">
        <v>0</v>
      </c>
      <c r="H38">
        <v>0</v>
      </c>
    </row>
    <row r="39" spans="1:8" x14ac:dyDescent="0.25">
      <c r="A39" t="s">
        <v>53</v>
      </c>
      <c r="B39">
        <v>1.3399999271247E+17</v>
      </c>
      <c r="D39">
        <v>9.2604170000000003</v>
      </c>
      <c r="E39" s="1">
        <v>4.211375E-5</v>
      </c>
      <c r="F39">
        <v>12.9</v>
      </c>
      <c r="G39">
        <v>0</v>
      </c>
      <c r="H39">
        <v>0</v>
      </c>
    </row>
    <row r="40" spans="1:8" x14ac:dyDescent="0.25">
      <c r="A40" t="s">
        <v>54</v>
      </c>
      <c r="B40">
        <v>1.3399999367238E+17</v>
      </c>
      <c r="D40">
        <v>9.2916670000000003</v>
      </c>
      <c r="E40" s="1">
        <v>4.4358825000000001E-5</v>
      </c>
      <c r="F40">
        <v>12.6</v>
      </c>
      <c r="G40">
        <v>1</v>
      </c>
      <c r="H40">
        <v>0</v>
      </c>
    </row>
    <row r="41" spans="1:8" x14ac:dyDescent="0.25">
      <c r="A41" t="s">
        <v>55</v>
      </c>
      <c r="B41">
        <v>1.3399999463226E+17</v>
      </c>
      <c r="D41">
        <v>8.625</v>
      </c>
      <c r="E41" s="1">
        <v>3.9897156999999997E-5</v>
      </c>
      <c r="F41">
        <v>13</v>
      </c>
      <c r="G41">
        <v>0</v>
      </c>
      <c r="H41">
        <v>0</v>
      </c>
    </row>
    <row r="42" spans="1:8" x14ac:dyDescent="0.25">
      <c r="A42" t="s">
        <v>56</v>
      </c>
      <c r="B42">
        <v>1.3399999559228E+17</v>
      </c>
      <c r="D42">
        <v>9.40625</v>
      </c>
      <c r="E42" s="1">
        <v>4.6414184999999999E-5</v>
      </c>
      <c r="F42">
        <v>12.6</v>
      </c>
      <c r="G42">
        <v>1</v>
      </c>
      <c r="H42">
        <v>0</v>
      </c>
    </row>
    <row r="43" spans="1:8" x14ac:dyDescent="0.25">
      <c r="A43" t="s">
        <v>57</v>
      </c>
      <c r="B43">
        <v>1.3399999655208E+17</v>
      </c>
      <c r="D43">
        <v>8.96875</v>
      </c>
      <c r="E43" s="1">
        <v>3.9535524E-5</v>
      </c>
      <c r="F43">
        <v>13.2</v>
      </c>
      <c r="G43">
        <v>0</v>
      </c>
      <c r="H43">
        <v>0</v>
      </c>
    </row>
    <row r="44" spans="1:8" x14ac:dyDescent="0.25">
      <c r="A44" t="s">
        <v>58</v>
      </c>
      <c r="B44">
        <v>1.3399999709208E+17</v>
      </c>
      <c r="D44">
        <v>9.5865379999999991</v>
      </c>
      <c r="E44" s="1">
        <v>4.3952353999999997E-5</v>
      </c>
      <c r="F44">
        <v>12.5</v>
      </c>
      <c r="G44">
        <v>1</v>
      </c>
      <c r="H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3098-8048-4F68-B064-09719F869CEB}">
  <dimension ref="A1:I42"/>
  <sheetViews>
    <sheetView tabSelected="1" workbookViewId="0">
      <selection activeCell="N1" sqref="N1:N1048576"/>
    </sheetView>
  </sheetViews>
  <sheetFormatPr defaultRowHeight="15" x14ac:dyDescent="0.25"/>
  <cols>
    <col min="9" max="9" width="12" bestFit="1" customWidth="1"/>
  </cols>
  <sheetData>
    <row r="1" spans="1:9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61</v>
      </c>
      <c r="B2">
        <v>1.3399999871192E+17</v>
      </c>
      <c r="D2">
        <v>4.2395835000000002</v>
      </c>
      <c r="E2" s="1">
        <v>5.3827920000000001E-6</v>
      </c>
      <c r="F2">
        <v>34.9</v>
      </c>
      <c r="G2">
        <v>0</v>
      </c>
      <c r="H2">
        <v>0</v>
      </c>
      <c r="I2">
        <f>B42-B2</f>
        <v>38396260000</v>
      </c>
    </row>
    <row r="3" spans="1:9" x14ac:dyDescent="0.25">
      <c r="A3" t="s">
        <v>62</v>
      </c>
      <c r="B3">
        <v>1.3399999967179E+17</v>
      </c>
      <c r="D3">
        <v>4.1145835000000002</v>
      </c>
      <c r="E3" s="1">
        <v>5.3131102999999997E-6</v>
      </c>
      <c r="F3">
        <v>37.6</v>
      </c>
      <c r="G3">
        <v>0</v>
      </c>
      <c r="H3">
        <v>0</v>
      </c>
      <c r="I3">
        <f>I2/10000000</f>
        <v>3839.6260000000002</v>
      </c>
    </row>
    <row r="4" spans="1:9" x14ac:dyDescent="0.25">
      <c r="A4" t="s">
        <v>63</v>
      </c>
      <c r="B4">
        <v>1.3400000063175E+17</v>
      </c>
      <c r="D4">
        <v>4</v>
      </c>
      <c r="E4" s="1">
        <v>7.1070352999999996E-6</v>
      </c>
      <c r="F4">
        <v>34.9</v>
      </c>
      <c r="G4">
        <v>0</v>
      </c>
      <c r="H4">
        <v>0</v>
      </c>
    </row>
    <row r="5" spans="1:9" x14ac:dyDescent="0.25">
      <c r="A5" t="s">
        <v>64</v>
      </c>
      <c r="B5">
        <v>1.3400000159166E+17</v>
      </c>
      <c r="D5">
        <v>4.46875</v>
      </c>
      <c r="E5" s="1">
        <v>6.1930335999999997E-6</v>
      </c>
      <c r="F5">
        <v>34.5</v>
      </c>
      <c r="G5">
        <v>0</v>
      </c>
      <c r="H5">
        <v>0</v>
      </c>
    </row>
    <row r="6" spans="1:9" x14ac:dyDescent="0.25">
      <c r="A6" t="s">
        <v>65</v>
      </c>
      <c r="B6">
        <v>1.340000025515E+17</v>
      </c>
      <c r="D6">
        <v>4.3333335000000002</v>
      </c>
      <c r="E6" s="1">
        <v>7.8287759999999997E-6</v>
      </c>
      <c r="F6">
        <v>31</v>
      </c>
      <c r="G6">
        <v>0</v>
      </c>
      <c r="H6">
        <v>0</v>
      </c>
    </row>
    <row r="7" spans="1:9" x14ac:dyDescent="0.25">
      <c r="A7" t="s">
        <v>66</v>
      </c>
      <c r="B7">
        <v>1.3400000351154E+17</v>
      </c>
      <c r="D7">
        <v>4.5416664999999998</v>
      </c>
      <c r="E7" s="1">
        <v>5.6081135E-6</v>
      </c>
      <c r="F7">
        <v>34.4</v>
      </c>
      <c r="G7">
        <v>0</v>
      </c>
      <c r="H7">
        <v>0</v>
      </c>
    </row>
    <row r="8" spans="1:9" x14ac:dyDescent="0.25">
      <c r="A8" t="s">
        <v>67</v>
      </c>
      <c r="B8">
        <v>1.340000044713E+17</v>
      </c>
      <c r="D8">
        <v>4.5</v>
      </c>
      <c r="E8" s="1">
        <v>6.7815144999999999E-6</v>
      </c>
      <c r="F8">
        <v>30</v>
      </c>
      <c r="G8">
        <v>0</v>
      </c>
      <c r="H8">
        <v>0</v>
      </c>
    </row>
    <row r="9" spans="1:9" x14ac:dyDescent="0.25">
      <c r="A9" t="s">
        <v>68</v>
      </c>
      <c r="B9">
        <v>1.3400000543121E+17</v>
      </c>
      <c r="D9">
        <v>4.3229164999999998</v>
      </c>
      <c r="E9" s="1">
        <v>7.0653277E-6</v>
      </c>
      <c r="F9">
        <v>35.1</v>
      </c>
      <c r="G9">
        <v>0</v>
      </c>
      <c r="H9">
        <v>0</v>
      </c>
    </row>
    <row r="10" spans="1:9" x14ac:dyDescent="0.25">
      <c r="A10" t="s">
        <v>69</v>
      </c>
      <c r="B10">
        <v>1.3400000639123E+17</v>
      </c>
      <c r="D10">
        <v>4.46875</v>
      </c>
      <c r="E10" s="1">
        <v>4.9880980000000001E-6</v>
      </c>
      <c r="F10">
        <v>33.1</v>
      </c>
      <c r="G10">
        <v>0</v>
      </c>
      <c r="H10">
        <v>0</v>
      </c>
    </row>
    <row r="11" spans="1:9" x14ac:dyDescent="0.25">
      <c r="A11" t="s">
        <v>70</v>
      </c>
      <c r="B11">
        <v>1.3400000735105E+17</v>
      </c>
      <c r="D11">
        <v>4.4791664999999998</v>
      </c>
      <c r="E11" s="1">
        <v>7.0119219999999999E-6</v>
      </c>
      <c r="F11">
        <v>34.299999999999997</v>
      </c>
      <c r="G11">
        <v>0</v>
      </c>
      <c r="H11">
        <v>0</v>
      </c>
    </row>
    <row r="12" spans="1:9" x14ac:dyDescent="0.25">
      <c r="A12" t="s">
        <v>71</v>
      </c>
      <c r="B12">
        <v>1.34000008311E+17</v>
      </c>
      <c r="D12">
        <v>4.4583335000000002</v>
      </c>
      <c r="E12" s="1">
        <v>5.7932533999999996E-6</v>
      </c>
      <c r="F12">
        <v>33.1</v>
      </c>
      <c r="G12">
        <v>0</v>
      </c>
      <c r="H12">
        <v>0</v>
      </c>
    </row>
    <row r="13" spans="1:9" x14ac:dyDescent="0.25">
      <c r="A13" t="s">
        <v>72</v>
      </c>
      <c r="B13">
        <v>1.3400000927094E+17</v>
      </c>
      <c r="D13">
        <v>4.4791664999999998</v>
      </c>
      <c r="E13" s="1">
        <v>6.2891639999999997E-6</v>
      </c>
      <c r="F13">
        <v>37.200000000000003</v>
      </c>
      <c r="G13">
        <v>0</v>
      </c>
      <c r="H13">
        <v>0</v>
      </c>
    </row>
    <row r="14" spans="1:9" x14ac:dyDescent="0.25">
      <c r="A14" t="s">
        <v>73</v>
      </c>
      <c r="B14">
        <v>1.340000102308E+17</v>
      </c>
      <c r="D14">
        <v>4.4583335000000002</v>
      </c>
      <c r="E14" s="1">
        <v>5.7088214E-6</v>
      </c>
      <c r="F14">
        <v>35.700000000000003</v>
      </c>
      <c r="G14">
        <v>0</v>
      </c>
      <c r="H14">
        <v>0</v>
      </c>
    </row>
    <row r="15" spans="1:9" x14ac:dyDescent="0.25">
      <c r="A15" t="s">
        <v>74</v>
      </c>
      <c r="B15">
        <v>1.3400001119072E+17</v>
      </c>
      <c r="D15">
        <v>4.3125</v>
      </c>
      <c r="E15" s="1">
        <v>4.4311523000000002E-6</v>
      </c>
      <c r="F15">
        <v>36.200000000000003</v>
      </c>
      <c r="G15">
        <v>0</v>
      </c>
      <c r="H15">
        <v>0</v>
      </c>
    </row>
    <row r="16" spans="1:9" x14ac:dyDescent="0.25">
      <c r="A16" t="s">
        <v>75</v>
      </c>
      <c r="B16">
        <v>1.3400001215066E+17</v>
      </c>
      <c r="D16">
        <v>4.6145835000000002</v>
      </c>
      <c r="E16" s="1">
        <v>5.1127116999999999E-6</v>
      </c>
      <c r="F16">
        <v>37.299999999999997</v>
      </c>
      <c r="G16">
        <v>0</v>
      </c>
      <c r="H16">
        <v>0</v>
      </c>
    </row>
    <row r="17" spans="1:8" x14ac:dyDescent="0.25">
      <c r="A17" t="s">
        <v>76</v>
      </c>
      <c r="B17">
        <v>1.3400001311053E+17</v>
      </c>
      <c r="D17">
        <v>4.3645835000000002</v>
      </c>
      <c r="E17" s="1">
        <v>5.5755613000000003E-6</v>
      </c>
      <c r="F17">
        <v>35.700000000000003</v>
      </c>
      <c r="G17">
        <v>0</v>
      </c>
      <c r="H17">
        <v>0</v>
      </c>
    </row>
    <row r="18" spans="1:8" x14ac:dyDescent="0.25">
      <c r="A18" t="s">
        <v>77</v>
      </c>
      <c r="B18">
        <v>1.3400001407041E+17</v>
      </c>
      <c r="D18">
        <v>4.4583335000000002</v>
      </c>
      <c r="E18" s="1">
        <v>4.7129314999999997E-6</v>
      </c>
      <c r="F18">
        <v>31.9</v>
      </c>
      <c r="G18">
        <v>0</v>
      </c>
      <c r="H18">
        <v>0</v>
      </c>
    </row>
    <row r="19" spans="1:8" x14ac:dyDescent="0.25">
      <c r="A19" t="s">
        <v>78</v>
      </c>
      <c r="B19">
        <v>1.3400001503038E+17</v>
      </c>
      <c r="D19">
        <v>4.2916664999999998</v>
      </c>
      <c r="E19" s="1">
        <v>5.7327269999999999E-6</v>
      </c>
      <c r="F19">
        <v>36</v>
      </c>
      <c r="G19">
        <v>0</v>
      </c>
      <c r="H19">
        <v>0</v>
      </c>
    </row>
    <row r="20" spans="1:8" x14ac:dyDescent="0.25">
      <c r="A20" t="s">
        <v>79</v>
      </c>
      <c r="B20">
        <v>1.3400001599025E+17</v>
      </c>
      <c r="D20">
        <v>4.3854164999999998</v>
      </c>
      <c r="E20" s="1">
        <v>7.2967528000000001E-6</v>
      </c>
      <c r="F20">
        <v>33.4</v>
      </c>
      <c r="G20">
        <v>0</v>
      </c>
      <c r="H20">
        <v>0</v>
      </c>
    </row>
    <row r="21" spans="1:8" x14ac:dyDescent="0.25">
      <c r="A21" t="s">
        <v>80</v>
      </c>
      <c r="B21">
        <v>1.340000169502E+17</v>
      </c>
      <c r="D21">
        <v>4.21875</v>
      </c>
      <c r="E21" s="1">
        <v>6.8181357000000003E-6</v>
      </c>
      <c r="F21">
        <v>36.200000000000003</v>
      </c>
      <c r="G21">
        <v>0</v>
      </c>
      <c r="H21">
        <v>0</v>
      </c>
    </row>
    <row r="22" spans="1:8" x14ac:dyDescent="0.25">
      <c r="A22" t="s">
        <v>81</v>
      </c>
      <c r="B22">
        <v>1.3400001790999E+17</v>
      </c>
      <c r="D22">
        <v>3.6979166999999999</v>
      </c>
      <c r="E22" s="1">
        <v>3.5237630000000001E-6</v>
      </c>
      <c r="F22">
        <v>32.5</v>
      </c>
      <c r="G22">
        <v>0</v>
      </c>
      <c r="H22">
        <v>0</v>
      </c>
    </row>
    <row r="23" spans="1:8" x14ac:dyDescent="0.25">
      <c r="A23" t="s">
        <v>82</v>
      </c>
      <c r="B23">
        <v>1.3400001886994E+17</v>
      </c>
      <c r="D23">
        <v>4.4791664999999998</v>
      </c>
      <c r="E23" s="1">
        <v>6.9096879999999998E-6</v>
      </c>
      <c r="F23">
        <v>34.700000000000003</v>
      </c>
      <c r="G23">
        <v>0</v>
      </c>
      <c r="H23">
        <v>0</v>
      </c>
    </row>
    <row r="24" spans="1:8" x14ac:dyDescent="0.25">
      <c r="A24" t="s">
        <v>83</v>
      </c>
      <c r="B24">
        <v>1.3400001982986E+17</v>
      </c>
      <c r="D24">
        <v>4.0416664999999998</v>
      </c>
      <c r="E24" s="1">
        <v>5.5384317000000004E-6</v>
      </c>
      <c r="F24">
        <v>35.5</v>
      </c>
      <c r="G24">
        <v>0</v>
      </c>
      <c r="H24">
        <v>0</v>
      </c>
    </row>
    <row r="25" spans="1:8" x14ac:dyDescent="0.25">
      <c r="A25" t="s">
        <v>84</v>
      </c>
      <c r="B25">
        <v>1.3400002078977E+17</v>
      </c>
      <c r="D25">
        <v>3.8125</v>
      </c>
      <c r="E25" s="1">
        <v>5.4133097000000004E-6</v>
      </c>
      <c r="F25">
        <v>37.9</v>
      </c>
      <c r="G25">
        <v>0</v>
      </c>
      <c r="H25">
        <v>0</v>
      </c>
    </row>
    <row r="26" spans="1:8" x14ac:dyDescent="0.25">
      <c r="A26" t="s">
        <v>85</v>
      </c>
      <c r="B26">
        <v>1.3400002174968E+17</v>
      </c>
      <c r="D26">
        <v>4.2916664999999998</v>
      </c>
      <c r="E26" s="1">
        <v>6.7016604000000001E-6</v>
      </c>
      <c r="F26">
        <v>32</v>
      </c>
      <c r="G26">
        <v>0</v>
      </c>
      <c r="H26">
        <v>0</v>
      </c>
    </row>
    <row r="27" spans="1:8" x14ac:dyDescent="0.25">
      <c r="A27" t="s">
        <v>86</v>
      </c>
      <c r="B27">
        <v>1.3400002270954E+17</v>
      </c>
      <c r="D27">
        <v>4.125</v>
      </c>
      <c r="E27" s="1">
        <v>5.8273317000000003E-6</v>
      </c>
      <c r="F27">
        <v>34.9</v>
      </c>
      <c r="G27">
        <v>0</v>
      </c>
      <c r="H27">
        <v>0</v>
      </c>
    </row>
    <row r="28" spans="1:8" x14ac:dyDescent="0.25">
      <c r="A28" t="s">
        <v>87</v>
      </c>
      <c r="B28">
        <v>1.3400002366957E+17</v>
      </c>
      <c r="D28">
        <v>4.4583335000000002</v>
      </c>
      <c r="E28" s="1">
        <v>7.3720300000000003E-6</v>
      </c>
      <c r="F28">
        <v>33.799999999999997</v>
      </c>
      <c r="G28">
        <v>0</v>
      </c>
      <c r="H28">
        <v>0</v>
      </c>
    </row>
    <row r="29" spans="1:8" x14ac:dyDescent="0.25">
      <c r="A29" t="s">
        <v>88</v>
      </c>
      <c r="B29">
        <v>1.3400002462938E+17</v>
      </c>
      <c r="D29">
        <v>4.5833335000000002</v>
      </c>
      <c r="E29" s="1">
        <v>5.9214275999999999E-6</v>
      </c>
      <c r="F29">
        <v>30</v>
      </c>
      <c r="G29">
        <v>0</v>
      </c>
      <c r="H29">
        <v>0</v>
      </c>
    </row>
    <row r="30" spans="1:8" x14ac:dyDescent="0.25">
      <c r="A30" t="s">
        <v>89</v>
      </c>
      <c r="B30">
        <v>1.3400002558934E+17</v>
      </c>
      <c r="D30">
        <v>4.3333335000000002</v>
      </c>
      <c r="E30" s="1">
        <v>4.5969645999999997E-6</v>
      </c>
      <c r="F30">
        <v>34.700000000000003</v>
      </c>
      <c r="G30">
        <v>0</v>
      </c>
      <c r="H30">
        <v>0</v>
      </c>
    </row>
    <row r="31" spans="1:8" x14ac:dyDescent="0.25">
      <c r="A31" t="s">
        <v>90</v>
      </c>
      <c r="B31">
        <v>1.3400002654924E+17</v>
      </c>
      <c r="D31">
        <v>4.2291664999999998</v>
      </c>
      <c r="E31" s="1">
        <v>5.6198120000000003E-6</v>
      </c>
      <c r="F31">
        <v>35.799999999999997</v>
      </c>
      <c r="G31">
        <v>0</v>
      </c>
      <c r="H31">
        <v>0</v>
      </c>
    </row>
    <row r="32" spans="1:8" x14ac:dyDescent="0.25">
      <c r="A32" t="s">
        <v>91</v>
      </c>
      <c r="B32">
        <v>1.3400002750917E+17</v>
      </c>
      <c r="D32">
        <v>4.2708335000000002</v>
      </c>
      <c r="E32" s="1">
        <v>6.6502889999999996E-6</v>
      </c>
      <c r="F32">
        <v>38.1</v>
      </c>
      <c r="G32">
        <v>0</v>
      </c>
      <c r="H32">
        <v>0</v>
      </c>
    </row>
    <row r="33" spans="1:8" x14ac:dyDescent="0.25">
      <c r="A33" t="s">
        <v>92</v>
      </c>
      <c r="B33">
        <v>1.3400002846901E+17</v>
      </c>
      <c r="D33">
        <v>4.4166664999999998</v>
      </c>
      <c r="E33" s="1">
        <v>5.4107669999999997E-6</v>
      </c>
      <c r="F33">
        <v>33.4</v>
      </c>
      <c r="G33">
        <v>0</v>
      </c>
      <c r="H33">
        <v>0</v>
      </c>
    </row>
    <row r="34" spans="1:8" x14ac:dyDescent="0.25">
      <c r="A34" t="s">
        <v>93</v>
      </c>
      <c r="B34">
        <v>1.34000029429E+17</v>
      </c>
      <c r="D34">
        <v>4.5</v>
      </c>
      <c r="E34" s="1">
        <v>6.2403360000000004E-6</v>
      </c>
      <c r="F34">
        <v>31.2</v>
      </c>
      <c r="G34">
        <v>0</v>
      </c>
      <c r="H34">
        <v>0</v>
      </c>
    </row>
    <row r="35" spans="1:8" x14ac:dyDescent="0.25">
      <c r="A35" t="s">
        <v>94</v>
      </c>
      <c r="B35">
        <v>1.3400003038881E+17</v>
      </c>
      <c r="D35">
        <v>4.2604164999999998</v>
      </c>
      <c r="E35" s="1">
        <v>4.3624877E-6</v>
      </c>
      <c r="F35">
        <v>36.1</v>
      </c>
      <c r="G35">
        <v>0</v>
      </c>
      <c r="H35">
        <v>0</v>
      </c>
    </row>
    <row r="36" spans="1:8" x14ac:dyDescent="0.25">
      <c r="A36" t="s">
        <v>95</v>
      </c>
      <c r="B36">
        <v>1.340000313488E+17</v>
      </c>
      <c r="D36">
        <v>4.28125</v>
      </c>
      <c r="E36" s="1">
        <v>5.1483153000000003E-6</v>
      </c>
      <c r="F36">
        <v>34.1</v>
      </c>
      <c r="G36">
        <v>0</v>
      </c>
      <c r="H36">
        <v>0</v>
      </c>
    </row>
    <row r="37" spans="1:8" x14ac:dyDescent="0.25">
      <c r="A37" t="s">
        <v>96</v>
      </c>
      <c r="B37">
        <v>1.3400003230865E+17</v>
      </c>
      <c r="D37">
        <v>4</v>
      </c>
      <c r="E37" s="1">
        <v>5.3894039999999997E-6</v>
      </c>
      <c r="F37">
        <v>34.299999999999997</v>
      </c>
      <c r="G37">
        <v>0</v>
      </c>
      <c r="H37">
        <v>0</v>
      </c>
    </row>
    <row r="38" spans="1:8" x14ac:dyDescent="0.25">
      <c r="A38" t="s">
        <v>97</v>
      </c>
      <c r="B38">
        <v>1.3400003326856E+17</v>
      </c>
      <c r="D38">
        <v>4.34375</v>
      </c>
      <c r="E38" s="1">
        <v>5.5089313000000004E-6</v>
      </c>
      <c r="F38">
        <v>38.6</v>
      </c>
      <c r="G38">
        <v>0</v>
      </c>
      <c r="H38">
        <v>0</v>
      </c>
    </row>
    <row r="39" spans="1:8" x14ac:dyDescent="0.25">
      <c r="A39" t="s">
        <v>98</v>
      </c>
      <c r="B39">
        <v>1.3400003422849E+17</v>
      </c>
      <c r="D39">
        <v>4.28125</v>
      </c>
      <c r="E39" s="1">
        <v>5.1539105000000003E-6</v>
      </c>
      <c r="F39">
        <v>34.9</v>
      </c>
      <c r="G39">
        <v>0</v>
      </c>
      <c r="H39">
        <v>0</v>
      </c>
    </row>
    <row r="40" spans="1:8" x14ac:dyDescent="0.25">
      <c r="A40" t="s">
        <v>99</v>
      </c>
      <c r="B40">
        <v>1.3400003518838E+17</v>
      </c>
      <c r="D40">
        <v>4.46875</v>
      </c>
      <c r="E40" s="1">
        <v>7.1090699999999999E-6</v>
      </c>
      <c r="F40">
        <v>31</v>
      </c>
      <c r="G40">
        <v>0</v>
      </c>
      <c r="H40">
        <v>0</v>
      </c>
    </row>
    <row r="41" spans="1:8" x14ac:dyDescent="0.25">
      <c r="A41" t="s">
        <v>100</v>
      </c>
      <c r="B41">
        <v>1.3400003614835E+17</v>
      </c>
      <c r="D41">
        <v>4.375</v>
      </c>
      <c r="E41" s="1">
        <v>6.4534505999999997E-6</v>
      </c>
      <c r="F41">
        <v>33.6</v>
      </c>
      <c r="G41">
        <v>0</v>
      </c>
      <c r="H41">
        <v>0</v>
      </c>
    </row>
    <row r="42" spans="1:8" x14ac:dyDescent="0.25">
      <c r="A42" t="s">
        <v>101</v>
      </c>
      <c r="B42">
        <v>1.3400003710818E+17</v>
      </c>
      <c r="D42">
        <v>4.0104164999999998</v>
      </c>
      <c r="E42" s="1">
        <v>6.3761395000000004E-6</v>
      </c>
      <c r="F42">
        <v>31.8</v>
      </c>
      <c r="G42">
        <v>0</v>
      </c>
      <c r="H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measured data</vt:lpstr>
      <vt:lpstr>lead measurement</vt:lpstr>
      <vt:lpstr>background 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divhani valen</dc:creator>
  <cp:lastModifiedBy>Valen Lebepe</cp:lastModifiedBy>
  <dcterms:created xsi:type="dcterms:W3CDTF">2025-08-18T13:20:46Z</dcterms:created>
  <dcterms:modified xsi:type="dcterms:W3CDTF">2025-09-13T14:41:34Z</dcterms:modified>
</cp:coreProperties>
</file>